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ig82107\Desktop\Power Query\eCommerce\"/>
    </mc:Choice>
  </mc:AlternateContent>
  <xr:revisionPtr revIDLastSave="0" documentId="13_ncr:1_{26B53442-8A18-44CD-9D60-1C2EDD77B3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" sheetId="6" r:id="rId1"/>
    <sheet name="Raw_ecommerce" sheetId="1" r:id="rId2"/>
    <sheet name="Mappings" sheetId="2" r:id="rId3"/>
    <sheet name="Dashboard" sheetId="7" r:id="rId4"/>
  </sheets>
  <definedNames>
    <definedName name="_xlnm._FilterDatabase" localSheetId="1" hidden="1">Raw_ecommerce!$A$1:$W$1</definedName>
  </definedNames>
  <calcPr calcId="191029"/>
  <pivotCaches>
    <pivotCache cacheId="7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F3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C5" i="7"/>
  <c r="C4" i="7"/>
  <c r="I13" i="6"/>
  <c r="I15" i="6"/>
  <c r="I17" i="6" l="1"/>
  <c r="C6" i="7" s="1"/>
  <c r="D622" i="1"/>
</calcChain>
</file>

<file path=xl/sharedStrings.xml><?xml version="1.0" encoding="utf-8"?>
<sst xmlns="http://schemas.openxmlformats.org/spreadsheetml/2006/main" count="4555" uniqueCount="1439">
  <si>
    <t>order_id</t>
  </si>
  <si>
    <t>order_date</t>
  </si>
  <si>
    <t>customer_name</t>
  </si>
  <si>
    <t>region</t>
  </si>
  <si>
    <t>sales_channel</t>
  </si>
  <si>
    <t>product</t>
  </si>
  <si>
    <t>quantity</t>
  </si>
  <si>
    <t>revenue</t>
  </si>
  <si>
    <t>currency</t>
  </si>
  <si>
    <t>order_status</t>
  </si>
  <si>
    <t>delivery_days</t>
  </si>
  <si>
    <t>notes</t>
  </si>
  <si>
    <t>23/11/2024</t>
  </si>
  <si>
    <t>customer 0</t>
  </si>
  <si>
    <t>Online</t>
  </si>
  <si>
    <t>TABLET</t>
  </si>
  <si>
    <t>$378.43</t>
  </si>
  <si>
    <t>EUR</t>
  </si>
  <si>
    <t>pending</t>
  </si>
  <si>
    <t>2024-01-16</t>
  </si>
  <si>
    <t>customer 1</t>
  </si>
  <si>
    <t>326.4 EUR</t>
  </si>
  <si>
    <t>$</t>
  </si>
  <si>
    <t>Delivered</t>
  </si>
  <si>
    <t>VIP</t>
  </si>
  <si>
    <t>Cust. 2</t>
  </si>
  <si>
    <t>Asia</t>
  </si>
  <si>
    <t>online</t>
  </si>
  <si>
    <t>Lapotp</t>
  </si>
  <si>
    <t>2614.44 EUR</t>
  </si>
  <si>
    <t>delivered</t>
  </si>
  <si>
    <t>Customer 3</t>
  </si>
  <si>
    <t>europe</t>
  </si>
  <si>
    <t>Tablet</t>
  </si>
  <si>
    <t>$2550.11</t>
  </si>
  <si>
    <t>RETURNED</t>
  </si>
  <si>
    <t>five</t>
  </si>
  <si>
    <t>late delivery</t>
  </si>
  <si>
    <t>ORD-1004</t>
  </si>
  <si>
    <t>2024-12-26</t>
  </si>
  <si>
    <t>customer 4</t>
  </si>
  <si>
    <t>phone</t>
  </si>
  <si>
    <t>255.19 EUR</t>
  </si>
  <si>
    <t>2024-07-08</t>
  </si>
  <si>
    <t>customer 5</t>
  </si>
  <si>
    <t>U.S.</t>
  </si>
  <si>
    <t>$1098.05</t>
  </si>
  <si>
    <t>returned</t>
  </si>
  <si>
    <t>2024-12-16</t>
  </si>
  <si>
    <t>Cust. 6</t>
  </si>
  <si>
    <t>Mobile</t>
  </si>
  <si>
    <t>Laptop</t>
  </si>
  <si>
    <t>12-01-2024</t>
  </si>
  <si>
    <t>customer 7</t>
  </si>
  <si>
    <t>US</t>
  </si>
  <si>
    <t>€</t>
  </si>
  <si>
    <t>Customer 8</t>
  </si>
  <si>
    <t>1228.23 EUR</t>
  </si>
  <si>
    <t>USD</t>
  </si>
  <si>
    <t>Cust. 9</t>
  </si>
  <si>
    <t>ORD-1010</t>
  </si>
  <si>
    <t>2024-02-27</t>
  </si>
  <si>
    <t>Cust. 10</t>
  </si>
  <si>
    <t>915.83 EUR</t>
  </si>
  <si>
    <t>2024-03-19</t>
  </si>
  <si>
    <t>Cust. 11</t>
  </si>
  <si>
    <t>1153.05 EUR</t>
  </si>
  <si>
    <t>Customer 12</t>
  </si>
  <si>
    <t>Web</t>
  </si>
  <si>
    <t>15/05/2024</t>
  </si>
  <si>
    <t>Cust. 13</t>
  </si>
  <si>
    <t>06/05/2024</t>
  </si>
  <si>
    <t>customer 14</t>
  </si>
  <si>
    <t>EU</t>
  </si>
  <si>
    <t>$712.86</t>
  </si>
  <si>
    <t>customer 15</t>
  </si>
  <si>
    <t>$1566.76</t>
  </si>
  <si>
    <t>Cust. 16</t>
  </si>
  <si>
    <t>MOBILE</t>
  </si>
  <si>
    <t>13/02/2025</t>
  </si>
  <si>
    <t>2591.93 EUR</t>
  </si>
  <si>
    <t>2025-02-17</t>
  </si>
  <si>
    <t>Customer 18</t>
  </si>
  <si>
    <t>two</t>
  </si>
  <si>
    <t>ORD-1019</t>
  </si>
  <si>
    <t>01-31-2024</t>
  </si>
  <si>
    <t>04-21-2024</t>
  </si>
  <si>
    <t>Customer 20</t>
  </si>
  <si>
    <t>05/04/2024</t>
  </si>
  <si>
    <t>ORD-1022</t>
  </si>
  <si>
    <t>02/08/2024</t>
  </si>
  <si>
    <t>Cust. 22</t>
  </si>
  <si>
    <t>$1989.25</t>
  </si>
  <si>
    <t>05/01/2024</t>
  </si>
  <si>
    <t>Cust. 23</t>
  </si>
  <si>
    <t>10-05-2024</t>
  </si>
  <si>
    <t>Customer 24</t>
  </si>
  <si>
    <t>11-05-2024</t>
  </si>
  <si>
    <t>$671.36</t>
  </si>
  <si>
    <t>$435.92</t>
  </si>
  <si>
    <t>2024-10-25</t>
  </si>
  <si>
    <t>Cust. 27</t>
  </si>
  <si>
    <t>Phone</t>
  </si>
  <si>
    <t>03/02/2025</t>
  </si>
  <si>
    <t>customer 28</t>
  </si>
  <si>
    <t>ORD-1029</t>
  </si>
  <si>
    <t>04/02/2025</t>
  </si>
  <si>
    <t>Customer 29</t>
  </si>
  <si>
    <t>2795.91 EUR</t>
  </si>
  <si>
    <t>2024-06-05</t>
  </si>
  <si>
    <t>customer 30</t>
  </si>
  <si>
    <t>2470.58 EUR</t>
  </si>
  <si>
    <t>2024-12-13</t>
  </si>
  <si>
    <t>Cust. 31</t>
  </si>
  <si>
    <t>$2944.39</t>
  </si>
  <si>
    <t>2025-01-08</t>
  </si>
  <si>
    <t>07-05-2024</t>
  </si>
  <si>
    <t>Customer 33</t>
  </si>
  <si>
    <t>$1322.33</t>
  </si>
  <si>
    <t>customer 34</t>
  </si>
  <si>
    <t>ORD-1035</t>
  </si>
  <si>
    <t>$1318.17</t>
  </si>
  <si>
    <t>20/09/2024</t>
  </si>
  <si>
    <t>Cust. 36</t>
  </si>
  <si>
    <t>$2008.37</t>
  </si>
  <si>
    <t>1272.6 EUR</t>
  </si>
  <si>
    <t>15/02/2025</t>
  </si>
  <si>
    <t>Customer 38</t>
  </si>
  <si>
    <t>customer 39</t>
  </si>
  <si>
    <t>11-16-2024</t>
  </si>
  <si>
    <t>customer 40</t>
  </si>
  <si>
    <t>2097.15 EUR</t>
  </si>
  <si>
    <t>ORD-1043</t>
  </si>
  <si>
    <t>2024-09-06</t>
  </si>
  <si>
    <t>customer 44</t>
  </si>
  <si>
    <t>ORD-1045</t>
  </si>
  <si>
    <t>Cust. 45</t>
  </si>
  <si>
    <t>28/11/2024</t>
  </si>
  <si>
    <t>customer 46</t>
  </si>
  <si>
    <t>10-15-2024</t>
  </si>
  <si>
    <t>Cust. 47</t>
  </si>
  <si>
    <t>ORD-1048</t>
  </si>
  <si>
    <t>08/06/2024</t>
  </si>
  <si>
    <t>Customer 48</t>
  </si>
  <si>
    <t>ORD-1049</t>
  </si>
  <si>
    <t>Cust. 49</t>
  </si>
  <si>
    <t>09/08/2024</t>
  </si>
  <si>
    <t>ORD-1051</t>
  </si>
  <si>
    <t>11/08/2024</t>
  </si>
  <si>
    <t>Customer 51</t>
  </si>
  <si>
    <t>$2485.92</t>
  </si>
  <si>
    <t>customer 52</t>
  </si>
  <si>
    <t>$134.66</t>
  </si>
  <si>
    <t>ORD-1054</t>
  </si>
  <si>
    <t>05-30-2024</t>
  </si>
  <si>
    <t>703.71 EUR</t>
  </si>
  <si>
    <t>18/05/2024</t>
  </si>
  <si>
    <t>Cust. 55</t>
  </si>
  <si>
    <t>954.54 EUR</t>
  </si>
  <si>
    <t>21/05/2024</t>
  </si>
  <si>
    <t>Cust. 56</t>
  </si>
  <si>
    <t>$2187.53</t>
  </si>
  <si>
    <t>05-20-2024</t>
  </si>
  <si>
    <t>customer 57</t>
  </si>
  <si>
    <t>ORD-1058</t>
  </si>
  <si>
    <t>Customer 58</t>
  </si>
  <si>
    <t>18/03/2024</t>
  </si>
  <si>
    <t>Customer 59</t>
  </si>
  <si>
    <t>$490.13</t>
  </si>
  <si>
    <t>Cust. 60</t>
  </si>
  <si>
    <t>$2730.09</t>
  </si>
  <si>
    <t>Customer 61</t>
  </si>
  <si>
    <t>1998.26 EUR</t>
  </si>
  <si>
    <t>Customer 62</t>
  </si>
  <si>
    <t>$899.91</t>
  </si>
  <si>
    <t>2024-11-27</t>
  </si>
  <si>
    <t>Customer 63</t>
  </si>
  <si>
    <t>$489.52</t>
  </si>
  <si>
    <t>ORD-1064</t>
  </si>
  <si>
    <t>02-16-2024</t>
  </si>
  <si>
    <t>Customer 65</t>
  </si>
  <si>
    <t>ORD-1066</t>
  </si>
  <si>
    <t>11-21-2024</t>
  </si>
  <si>
    <t>2024-05-27</t>
  </si>
  <si>
    <t>ORD-1068</t>
  </si>
  <si>
    <t>2024-12-02</t>
  </si>
  <si>
    <t>customer 68</t>
  </si>
  <si>
    <t>ORD-1069</t>
  </si>
  <si>
    <t>Customer 69</t>
  </si>
  <si>
    <t>$436.49</t>
  </si>
  <si>
    <t>Customer 70</t>
  </si>
  <si>
    <t>1253.57 EUR</t>
  </si>
  <si>
    <t>ORD-1071</t>
  </si>
  <si>
    <t>04/09/2024</t>
  </si>
  <si>
    <t>2941.72 EUR</t>
  </si>
  <si>
    <t>ORD-1072</t>
  </si>
  <si>
    <t>02-07-2025</t>
  </si>
  <si>
    <t>21/08/2024</t>
  </si>
  <si>
    <t>2801.91 EUR</t>
  </si>
  <si>
    <t>ORD-1074</t>
  </si>
  <si>
    <t>2024-12-05</t>
  </si>
  <si>
    <t>customer 74</t>
  </si>
  <si>
    <t>2387.56 EUR</t>
  </si>
  <si>
    <t>08/01/2024</t>
  </si>
  <si>
    <t>Customer 75</t>
  </si>
  <si>
    <t>ORD-1076</t>
  </si>
  <si>
    <t>Customer 76</t>
  </si>
  <si>
    <t>ORD-1077</t>
  </si>
  <si>
    <t>20/02/2024</t>
  </si>
  <si>
    <t>Cust. 77</t>
  </si>
  <si>
    <t>15/03/2024</t>
  </si>
  <si>
    <t>customer 78</t>
  </si>
  <si>
    <t>10-25-2024</t>
  </si>
  <si>
    <t>02-07-2024</t>
  </si>
  <si>
    <t>$1353.1</t>
  </si>
  <si>
    <t>05-01-2024</t>
  </si>
  <si>
    <t>Cust. 81</t>
  </si>
  <si>
    <t>$1175.02</t>
  </si>
  <si>
    <t>11-06-2024</t>
  </si>
  <si>
    <t>customer 82</t>
  </si>
  <si>
    <t>$2248.26</t>
  </si>
  <si>
    <t>06-07-2024</t>
  </si>
  <si>
    <t>customer 83</t>
  </si>
  <si>
    <t>09-28-2024</t>
  </si>
  <si>
    <t>$1530.29</t>
  </si>
  <si>
    <t>01-21-2025</t>
  </si>
  <si>
    <t>Customer 85</t>
  </si>
  <si>
    <t>Cust. 86</t>
  </si>
  <si>
    <t>$2259.58</t>
  </si>
  <si>
    <t>Cust. 87</t>
  </si>
  <si>
    <t>ORD-1088</t>
  </si>
  <si>
    <t>Cust. 88</t>
  </si>
  <si>
    <t>336.72 EUR</t>
  </si>
  <si>
    <t>Cust. 89</t>
  </si>
  <si>
    <t>02-20-2024</t>
  </si>
  <si>
    <t>Customer 90</t>
  </si>
  <si>
    <t>$2943.74</t>
  </si>
  <si>
    <t>11-24-2024</t>
  </si>
  <si>
    <t>customer 91</t>
  </si>
  <si>
    <t>2025-02-20</t>
  </si>
  <si>
    <t>Cust. 92</t>
  </si>
  <si>
    <t>$2615.6</t>
  </si>
  <si>
    <t>03-08-2024</t>
  </si>
  <si>
    <t>Customer 93</t>
  </si>
  <si>
    <t>93.84 EUR</t>
  </si>
  <si>
    <t>2024-08-31</t>
  </si>
  <si>
    <t>$1372.41</t>
  </si>
  <si>
    <t>ORD-1095</t>
  </si>
  <si>
    <t>2024-02-01</t>
  </si>
  <si>
    <t>ORD-1096</t>
  </si>
  <si>
    <t>03-05-2024</t>
  </si>
  <si>
    <t>$861.3</t>
  </si>
  <si>
    <t>ORD-1097</t>
  </si>
  <si>
    <t>08-08-2024</t>
  </si>
  <si>
    <t>1382.09 EUR</t>
  </si>
  <si>
    <t>2024-07-10</t>
  </si>
  <si>
    <t>Customer 98</t>
  </si>
  <si>
    <t>Customer 99</t>
  </si>
  <si>
    <t>$410.58</t>
  </si>
  <si>
    <t>03-20-2024</t>
  </si>
  <si>
    <t>Cust. 100</t>
  </si>
  <si>
    <t>1987.37 EUR</t>
  </si>
  <si>
    <t>07/11/2024</t>
  </si>
  <si>
    <t>Cust. 101</t>
  </si>
  <si>
    <t>$2790.8</t>
  </si>
  <si>
    <t>05/02/2024</t>
  </si>
  <si>
    <t>01/02/2025</t>
  </si>
  <si>
    <t>customer 103</t>
  </si>
  <si>
    <t>ORD-1104</t>
  </si>
  <si>
    <t>05/09/2024</t>
  </si>
  <si>
    <t>Customer 104</t>
  </si>
  <si>
    <t>24/01/2024</t>
  </si>
  <si>
    <t>Cust. 105</t>
  </si>
  <si>
    <t>customer 106</t>
  </si>
  <si>
    <t>2253.69 EUR</t>
  </si>
  <si>
    <t>ORD-1107</t>
  </si>
  <si>
    <t>03-28-2024</t>
  </si>
  <si>
    <t>Customer 108</t>
  </si>
  <si>
    <t>07-21-2024</t>
  </si>
  <si>
    <t>customer 109</t>
  </si>
  <si>
    <t>$2618.05</t>
  </si>
  <si>
    <t>2024-06-28</t>
  </si>
  <si>
    <t>customer 110</t>
  </si>
  <si>
    <t>2195.77 EUR</t>
  </si>
  <si>
    <t>Cust. 111</t>
  </si>
  <si>
    <t>2024-11-19</t>
  </si>
  <si>
    <t>Cust. 112</t>
  </si>
  <si>
    <t>$943.32</t>
  </si>
  <si>
    <t>Customer 114</t>
  </si>
  <si>
    <t>1834.77 EUR</t>
  </si>
  <si>
    <t>Cust. 115</t>
  </si>
  <si>
    <t>02-08-2025</t>
  </si>
  <si>
    <t>Customer 116</t>
  </si>
  <si>
    <t>$1911.12</t>
  </si>
  <si>
    <t>ORD-1117</t>
  </si>
  <si>
    <t>06-19-2024</t>
  </si>
  <si>
    <t>290.43 EUR</t>
  </si>
  <si>
    <t>Cust. 118</t>
  </si>
  <si>
    <t>04-25-2024</t>
  </si>
  <si>
    <t>Customer 119</t>
  </si>
  <si>
    <t>2999.93 EUR</t>
  </si>
  <si>
    <t>01/11/2024</t>
  </si>
  <si>
    <t>1161.32 EUR</t>
  </si>
  <si>
    <t>ORD-1121</t>
  </si>
  <si>
    <t>29/04/2024</t>
  </si>
  <si>
    <t>Cust. 121</t>
  </si>
  <si>
    <t>$1625.33</t>
  </si>
  <si>
    <t>ORD-1122</t>
  </si>
  <si>
    <t>2024-03-23</t>
  </si>
  <si>
    <t>2459.83 EUR</t>
  </si>
  <si>
    <t>25/01/2025</t>
  </si>
  <si>
    <t>ORD-1124</t>
  </si>
  <si>
    <t>2024-07-21</t>
  </si>
  <si>
    <t>Cust. 124</t>
  </si>
  <si>
    <t>1530.92 EUR</t>
  </si>
  <si>
    <t>26/05/2024</t>
  </si>
  <si>
    <t>10-07-2024</t>
  </si>
  <si>
    <t>customer 126</t>
  </si>
  <si>
    <t>2024-02-02</t>
  </si>
  <si>
    <t>customer 127</t>
  </si>
  <si>
    <t>10-19-2024</t>
  </si>
  <si>
    <t>Customer 128</t>
  </si>
  <si>
    <t>ORD-1129</t>
  </si>
  <si>
    <t>2024-01-23</t>
  </si>
  <si>
    <t>Cust. 129</t>
  </si>
  <si>
    <t>$1925.23</t>
  </si>
  <si>
    <t>09/03/2024</t>
  </si>
  <si>
    <t>$180.79</t>
  </si>
  <si>
    <t>2024-01-19</t>
  </si>
  <si>
    <t>Cust. 131</t>
  </si>
  <si>
    <t>05-26-2024</t>
  </si>
  <si>
    <t>Cust. 132</t>
  </si>
  <si>
    <t>09-11-2024</t>
  </si>
  <si>
    <t>Customer 133</t>
  </si>
  <si>
    <t>$2091.6</t>
  </si>
  <si>
    <t>06-13-2024</t>
  </si>
  <si>
    <t>Cust. 134</t>
  </si>
  <si>
    <t>$352.66</t>
  </si>
  <si>
    <t>Cust. 135</t>
  </si>
  <si>
    <t>$174.95</t>
  </si>
  <si>
    <t>16/01/2024</t>
  </si>
  <si>
    <t>Customer 136</t>
  </si>
  <si>
    <t>ORD-1137</t>
  </si>
  <si>
    <t>Customer 137</t>
  </si>
  <si>
    <t>$1377.27</t>
  </si>
  <si>
    <t>07/05/2024</t>
  </si>
  <si>
    <t>customer 139</t>
  </si>
  <si>
    <t>$2989.28</t>
  </si>
  <si>
    <t>02-14-2024</t>
  </si>
  <si>
    <t>Customer 140</t>
  </si>
  <si>
    <t>$2441.01</t>
  </si>
  <si>
    <t>10/02/2025</t>
  </si>
  <si>
    <t>customer 141</t>
  </si>
  <si>
    <t>1116.4 EUR</t>
  </si>
  <si>
    <t>2025-02-15</t>
  </si>
  <si>
    <t>Customer 142</t>
  </si>
  <si>
    <t>2949.89 EUR</t>
  </si>
  <si>
    <t>ORD-1143</t>
  </si>
  <si>
    <t>Cust. 143</t>
  </si>
  <si>
    <t>04/03/2024</t>
  </si>
  <si>
    <t>Cust. 144</t>
  </si>
  <si>
    <t>$1578.4</t>
  </si>
  <si>
    <t>Customer 145</t>
  </si>
  <si>
    <t>$2871.24</t>
  </si>
  <si>
    <t>2024-10-15</t>
  </si>
  <si>
    <t>Cust. 146</t>
  </si>
  <si>
    <t>$2672.54</t>
  </si>
  <si>
    <t>ORD-1148</t>
  </si>
  <si>
    <t>21/03/2024</t>
  </si>
  <si>
    <t>Cust. 148</t>
  </si>
  <si>
    <t>Customer 149</t>
  </si>
  <si>
    <t>$1706.87</t>
  </si>
  <si>
    <t>ORD-1150</t>
  </si>
  <si>
    <t>11-11-2024</t>
  </si>
  <si>
    <t>customer 150</t>
  </si>
  <si>
    <t>1283.5 EUR</t>
  </si>
  <si>
    <t>customer 151</t>
  </si>
  <si>
    <t>ORD-1152</t>
  </si>
  <si>
    <t>Cust. 152</t>
  </si>
  <si>
    <t>10-18-2024</t>
  </si>
  <si>
    <t>Customer 153</t>
  </si>
  <si>
    <t>$1707.36</t>
  </si>
  <si>
    <t>ORD-1154</t>
  </si>
  <si>
    <t>03-06-2024</t>
  </si>
  <si>
    <t>Cust. 154</t>
  </si>
  <si>
    <t>ORD-1155</t>
  </si>
  <si>
    <t>customer 155</t>
  </si>
  <si>
    <t>$164.8</t>
  </si>
  <si>
    <t>$2230.99</t>
  </si>
  <si>
    <t>Cust. 157</t>
  </si>
  <si>
    <t>25/09/2024</t>
  </si>
  <si>
    <t>Customer 158</t>
  </si>
  <si>
    <t>ORD-1159</t>
  </si>
  <si>
    <t>Customer 159</t>
  </si>
  <si>
    <t>1268.23 EUR</t>
  </si>
  <si>
    <t>ORD-1160</t>
  </si>
  <si>
    <t>09-26-2024</t>
  </si>
  <si>
    <t>Cust. 160</t>
  </si>
  <si>
    <t>1161.63 EUR</t>
  </si>
  <si>
    <t>ORD-1161</t>
  </si>
  <si>
    <t>05-22-2024</t>
  </si>
  <si>
    <t>customer 161</t>
  </si>
  <si>
    <t>1696.36 EUR</t>
  </si>
  <si>
    <t>ORD-1162</t>
  </si>
  <si>
    <t>05-27-2024</t>
  </si>
  <si>
    <t>customer 162</t>
  </si>
  <si>
    <t>01-17-2025</t>
  </si>
  <si>
    <t>Cust. 163</t>
  </si>
  <si>
    <t>1463.28 EUR</t>
  </si>
  <si>
    <t>ORD-1164</t>
  </si>
  <si>
    <t>11-22-2024</t>
  </si>
  <si>
    <t>ORD-1165</t>
  </si>
  <si>
    <t>30/11/2024</t>
  </si>
  <si>
    <t>Cust. 165</t>
  </si>
  <si>
    <t>customer 166</t>
  </si>
  <si>
    <t>ORD-1167</t>
  </si>
  <si>
    <t>01-05-2024</t>
  </si>
  <si>
    <t>Cust. 168</t>
  </si>
  <si>
    <t>$2436.0</t>
  </si>
  <si>
    <t>ORD-1169</t>
  </si>
  <si>
    <t>03-30-2024</t>
  </si>
  <si>
    <t>Customer 169</t>
  </si>
  <si>
    <t>ORD-1170</t>
  </si>
  <si>
    <t>01-04-2024</t>
  </si>
  <si>
    <t>Cust. 170</t>
  </si>
  <si>
    <t>819.32 EUR</t>
  </si>
  <si>
    <t>ORD-1171</t>
  </si>
  <si>
    <t>12-20-2024</t>
  </si>
  <si>
    <t>customer 171</t>
  </si>
  <si>
    <t>ORD-1172</t>
  </si>
  <si>
    <t>10/11/2024</t>
  </si>
  <si>
    <t>701.51 EUR</t>
  </si>
  <si>
    <t>Cust. 173</t>
  </si>
  <si>
    <t>25/03/2024</t>
  </si>
  <si>
    <t>08-21-2024</t>
  </si>
  <si>
    <t>Customer 175</t>
  </si>
  <si>
    <t>2024-08-04</t>
  </si>
  <si>
    <t>Customer 176</t>
  </si>
  <si>
    <t>ORD-1177</t>
  </si>
  <si>
    <t>01/04/2024</t>
  </si>
  <si>
    <t>customer 178</t>
  </si>
  <si>
    <t>Cust. 179</t>
  </si>
  <si>
    <t>1168.87 EUR</t>
  </si>
  <si>
    <t>2024-05-03</t>
  </si>
  <si>
    <t>12/08/2024</t>
  </si>
  <si>
    <t>Cust. 181</t>
  </si>
  <si>
    <t>741.3 EUR</t>
  </si>
  <si>
    <t>01/05/2024</t>
  </si>
  <si>
    <t>940.21 EUR</t>
  </si>
  <si>
    <t>Cust. 183</t>
  </si>
  <si>
    <t>$1512.08</t>
  </si>
  <si>
    <t>03/05/2024</t>
  </si>
  <si>
    <t>$2555.56</t>
  </si>
  <si>
    <t>2024-05-04</t>
  </si>
  <si>
    <t>$802.24</t>
  </si>
  <si>
    <t>10/12/2024</t>
  </si>
  <si>
    <t>customer 186</t>
  </si>
  <si>
    <t>14/01/2025</t>
  </si>
  <si>
    <t>ORD-1188</t>
  </si>
  <si>
    <t>2024-06-06</t>
  </si>
  <si>
    <t>Cust. 189</t>
  </si>
  <si>
    <t>$480.47</t>
  </si>
  <si>
    <t>ORD-1190</t>
  </si>
  <si>
    <t>$1981.09</t>
  </si>
  <si>
    <t>2024-04-04</t>
  </si>
  <si>
    <t>Customer 191</t>
  </si>
  <si>
    <t>Cust. 192</t>
  </si>
  <si>
    <t>2024-01-04</t>
  </si>
  <si>
    <t>Cust. 193</t>
  </si>
  <si>
    <t>09-25-2024</t>
  </si>
  <si>
    <t>Cust. 194</t>
  </si>
  <si>
    <t>489.25 EUR</t>
  </si>
  <si>
    <t>2024-12-22</t>
  </si>
  <si>
    <t>Customer 195</t>
  </si>
  <si>
    <t>ORD-1196</t>
  </si>
  <si>
    <t>12-25-2024</t>
  </si>
  <si>
    <t>Customer 196</t>
  </si>
  <si>
    <t>2024-02-08</t>
  </si>
  <si>
    <t>customer 197</t>
  </si>
  <si>
    <t>$2069.06</t>
  </si>
  <si>
    <t>Cust. 198</t>
  </si>
  <si>
    <t>932.87 EUR</t>
  </si>
  <si>
    <t>ORD-1199</t>
  </si>
  <si>
    <t>Cust. 199</t>
  </si>
  <si>
    <t>08-09-2024</t>
  </si>
  <si>
    <t>customer 200</t>
  </si>
  <si>
    <t>2025-01-13</t>
  </si>
  <si>
    <t>Customer 201</t>
  </si>
  <si>
    <t>$1199.38</t>
  </si>
  <si>
    <t>2024-08-08</t>
  </si>
  <si>
    <t>Customer 202</t>
  </si>
  <si>
    <t>29/05/2024</t>
  </si>
  <si>
    <t>customer 203</t>
  </si>
  <si>
    <t>ORD-1204</t>
  </si>
  <si>
    <t>Cust. 204</t>
  </si>
  <si>
    <t>31/10/2024</t>
  </si>
  <si>
    <t>Cust. 205</t>
  </si>
  <si>
    <t>ORD-1206</t>
  </si>
  <si>
    <t>customer 206</t>
  </si>
  <si>
    <t>2455.65 EUR</t>
  </si>
  <si>
    <t>ORD-1207</t>
  </si>
  <si>
    <t>10-21-2024</t>
  </si>
  <si>
    <t>$2356.82</t>
  </si>
  <si>
    <t>ORD-1208</t>
  </si>
  <si>
    <t>01-07-2025</t>
  </si>
  <si>
    <t>Customer 208</t>
  </si>
  <si>
    <t>1411.79 EUR</t>
  </si>
  <si>
    <t>ORD-1209</t>
  </si>
  <si>
    <t>2024-05-09</t>
  </si>
  <si>
    <t>2024-10-05</t>
  </si>
  <si>
    <t>Customer 210</t>
  </si>
  <si>
    <t>$158.46</t>
  </si>
  <si>
    <t>ORD-1211</t>
  </si>
  <si>
    <t>Customer 211</t>
  </si>
  <si>
    <t>16/08/2024</t>
  </si>
  <si>
    <t>Cust. 212</t>
  </si>
  <si>
    <t>Cust. 213</t>
  </si>
  <si>
    <t>ORD-1214</t>
  </si>
  <si>
    <t>2025-02-18</t>
  </si>
  <si>
    <t>customer 214</t>
  </si>
  <si>
    <t>24/08/2024</t>
  </si>
  <si>
    <t>customer 215</t>
  </si>
  <si>
    <t>18/08/2024</t>
  </si>
  <si>
    <t>customer 216</t>
  </si>
  <si>
    <t>07-06-2024</t>
  </si>
  <si>
    <t>27/06/2024</t>
  </si>
  <si>
    <t>Cust. 218</t>
  </si>
  <si>
    <t>589.98 EUR</t>
  </si>
  <si>
    <t>11/10/2024</t>
  </si>
  <si>
    <t>Cust. 220</t>
  </si>
  <si>
    <t>$542.25</t>
  </si>
  <si>
    <t>ORD-1221</t>
  </si>
  <si>
    <t>05-29-2024</t>
  </si>
  <si>
    <t>customer 222</t>
  </si>
  <si>
    <t>146.45 EUR</t>
  </si>
  <si>
    <t>2024-05-17</t>
  </si>
  <si>
    <t>$2336.58</t>
  </si>
  <si>
    <t>ORD-1224</t>
  </si>
  <si>
    <t>2024-05-14</t>
  </si>
  <si>
    <t>customer 224</t>
  </si>
  <si>
    <t>2024-11-11</t>
  </si>
  <si>
    <t>Cust. 225</t>
  </si>
  <si>
    <t>460.74 EUR</t>
  </si>
  <si>
    <t>Customer 226</t>
  </si>
  <si>
    <t>ORD-1227</t>
  </si>
  <si>
    <t>Cust. 227</t>
  </si>
  <si>
    <t>ORD-1228</t>
  </si>
  <si>
    <t>Cust. 228</t>
  </si>
  <si>
    <t>$2261.92</t>
  </si>
  <si>
    <t>customer 229</t>
  </si>
  <si>
    <t>2024-10-16</t>
  </si>
  <si>
    <t>Customer 230</t>
  </si>
  <si>
    <t>$2564.65</t>
  </si>
  <si>
    <t>Cust. 231</t>
  </si>
  <si>
    <t>27/01/2024</t>
  </si>
  <si>
    <t>$1219.21</t>
  </si>
  <si>
    <t>2024-03-08</t>
  </si>
  <si>
    <t>Cust. 233</t>
  </si>
  <si>
    <t>07-15-2024</t>
  </si>
  <si>
    <t>Cust. 234</t>
  </si>
  <si>
    <t>ORD-1235</t>
  </si>
  <si>
    <t>08/11/2024</t>
  </si>
  <si>
    <t>customer 235</t>
  </si>
  <si>
    <t>ORD-1236</t>
  </si>
  <si>
    <t>Cust. 236</t>
  </si>
  <si>
    <t>02-02-2025</t>
  </si>
  <si>
    <t>customer 237</t>
  </si>
  <si>
    <t>ORD-1238</t>
  </si>
  <si>
    <t>Customer 238</t>
  </si>
  <si>
    <t>2698.84 EUR</t>
  </si>
  <si>
    <t>ORD-1239</t>
  </si>
  <si>
    <t>11/06/2024</t>
  </si>
  <si>
    <t>01-21-2024</t>
  </si>
  <si>
    <t>22/05/2024</t>
  </si>
  <si>
    <t>customer 241</t>
  </si>
  <si>
    <t>08/01/2025</t>
  </si>
  <si>
    <t>Customer 242</t>
  </si>
  <si>
    <t>2862.61 EUR</t>
  </si>
  <si>
    <t>2024-03-02</t>
  </si>
  <si>
    <t>customer 243</t>
  </si>
  <si>
    <t>87.36 EUR</t>
  </si>
  <si>
    <t>2025-01-18</t>
  </si>
  <si>
    <t>Customer 244</t>
  </si>
  <si>
    <t>$2354.32</t>
  </si>
  <si>
    <t>customer 245</t>
  </si>
  <si>
    <t>$1392.83</t>
  </si>
  <si>
    <t>2024-04-26</t>
  </si>
  <si>
    <t>customer 246</t>
  </si>
  <si>
    <t>04-24-2024</t>
  </si>
  <si>
    <t>Cust. 247</t>
  </si>
  <si>
    <t>ORD-1248</t>
  </si>
  <si>
    <t>2024-04-01</t>
  </si>
  <si>
    <t>customer 249</t>
  </si>
  <si>
    <t>$1138.31</t>
  </si>
  <si>
    <t>Cust. 250</t>
  </si>
  <si>
    <t>ORD-1251</t>
  </si>
  <si>
    <t>Customer 251</t>
  </si>
  <si>
    <t>655.32 EUR</t>
  </si>
  <si>
    <t>2024-12-24</t>
  </si>
  <si>
    <t>Customer 252</t>
  </si>
  <si>
    <t>08-10-2024</t>
  </si>
  <si>
    <t>Cust. 253</t>
  </si>
  <si>
    <t>2004.21 EUR</t>
  </si>
  <si>
    <t>2024-04-29</t>
  </si>
  <si>
    <t>customer 254</t>
  </si>
  <si>
    <t>270.33 EUR</t>
  </si>
  <si>
    <t>ORD-1255</t>
  </si>
  <si>
    <t>01-29-2025</t>
  </si>
  <si>
    <t>Customer 255</t>
  </si>
  <si>
    <t>$662.53</t>
  </si>
  <si>
    <t>ORD-1256</t>
  </si>
  <si>
    <t>Customer 256</t>
  </si>
  <si>
    <t>319.08 EUR</t>
  </si>
  <si>
    <t>2024-02-18</t>
  </si>
  <si>
    <t>Customer 257</t>
  </si>
  <si>
    <t>1413.03 EUR</t>
  </si>
  <si>
    <t>customer 258</t>
  </si>
  <si>
    <t>20/05/2024</t>
  </si>
  <si>
    <t>Cust. 260</t>
  </si>
  <si>
    <t>875.57 EUR</t>
  </si>
  <si>
    <t>2024-03-11</t>
  </si>
  <si>
    <t>1286.74 EUR</t>
  </si>
  <si>
    <t>ORD-1262</t>
  </si>
  <si>
    <t>17/07/2024</t>
  </si>
  <si>
    <t>Customer 262</t>
  </si>
  <si>
    <t>ORD-1263</t>
  </si>
  <si>
    <t>2024-03-22</t>
  </si>
  <si>
    <t>customer 263</t>
  </si>
  <si>
    <t>345.4 EUR</t>
  </si>
  <si>
    <t>2025-02-16</t>
  </si>
  <si>
    <t>Cust. 264</t>
  </si>
  <si>
    <t>$2227.41</t>
  </si>
  <si>
    <t>30/03/2024</t>
  </si>
  <si>
    <t>customer 265</t>
  </si>
  <si>
    <t>2024-06-23</t>
  </si>
  <si>
    <t>customer 266</t>
  </si>
  <si>
    <t>$2164.97</t>
  </si>
  <si>
    <t>Cust. 267</t>
  </si>
  <si>
    <t>$2136.19</t>
  </si>
  <si>
    <t>2024-12-25</t>
  </si>
  <si>
    <t>customer 269</t>
  </si>
  <si>
    <t>Cust. 270</t>
  </si>
  <si>
    <t>ORD-1271</t>
  </si>
  <si>
    <t>2024-05-07</t>
  </si>
  <si>
    <t>Customer 271</t>
  </si>
  <si>
    <t>$2094.87</t>
  </si>
  <si>
    <t>ORD-1272</t>
  </si>
  <si>
    <t>28/06/2024</t>
  </si>
  <si>
    <t>customer 272</t>
  </si>
  <si>
    <t>ORD-1273</t>
  </si>
  <si>
    <t>23/02/2024</t>
  </si>
  <si>
    <t>Customer 273</t>
  </si>
  <si>
    <t>268.89 EUR</t>
  </si>
  <si>
    <t>customer 274</t>
  </si>
  <si>
    <t>2830.2 EUR</t>
  </si>
  <si>
    <t>2024-12-04</t>
  </si>
  <si>
    <t>880.49 EUR</t>
  </si>
  <si>
    <t>2024-08-06</t>
  </si>
  <si>
    <t>Customer 276</t>
  </si>
  <si>
    <t>02-05-2025</t>
  </si>
  <si>
    <t>Customer 277</t>
  </si>
  <si>
    <t>ORD-1278</t>
  </si>
  <si>
    <t>08-16-2024</t>
  </si>
  <si>
    <t>customer 278</t>
  </si>
  <si>
    <t>13/02/2024</t>
  </si>
  <si>
    <t>Customer 279</t>
  </si>
  <si>
    <t>ORD-1280</t>
  </si>
  <si>
    <t>2024-10-20</t>
  </si>
  <si>
    <t>02/03/2024</t>
  </si>
  <si>
    <t>customer 281</t>
  </si>
  <si>
    <t>04-13-2024</t>
  </si>
  <si>
    <t>Cust. 282</t>
  </si>
  <si>
    <t>2991.94 EUR</t>
  </si>
  <si>
    <t>Customer 283</t>
  </si>
  <si>
    <t>$2349.66</t>
  </si>
  <si>
    <t>Customer 285</t>
  </si>
  <si>
    <t>862.47 EUR</t>
  </si>
  <si>
    <t>ORD-1286</t>
  </si>
  <si>
    <t>07-09-2024</t>
  </si>
  <si>
    <t>$109.69</t>
  </si>
  <si>
    <t>Customer 287</t>
  </si>
  <si>
    <t>$2486.18</t>
  </si>
  <si>
    <t>ORD-1288</t>
  </si>
  <si>
    <t>customer 288</t>
  </si>
  <si>
    <t>ORD-1289</t>
  </si>
  <si>
    <t>Cust. 289</t>
  </si>
  <si>
    <t>Cust. 290</t>
  </si>
  <si>
    <t>26/01/2024</t>
  </si>
  <si>
    <t>customer 291</t>
  </si>
  <si>
    <t>530.58 EUR</t>
  </si>
  <si>
    <t>Cust. 292</t>
  </si>
  <si>
    <t>Customer 293</t>
  </si>
  <si>
    <t>$693.72</t>
  </si>
  <si>
    <t>06-01-2024</t>
  </si>
  <si>
    <t>Cust. 294</t>
  </si>
  <si>
    <t>Cust. 295</t>
  </si>
  <si>
    <t>492.29 EUR</t>
  </si>
  <si>
    <t>26/07/2024</t>
  </si>
  <si>
    <t>Cust. 296</t>
  </si>
  <si>
    <t>ORD-1297</t>
  </si>
  <si>
    <t>2024-03-28</t>
  </si>
  <si>
    <t>2529.88 EUR</t>
  </si>
  <si>
    <t>ORD-1298</t>
  </si>
  <si>
    <t>04-23-2024</t>
  </si>
  <si>
    <t>Cust. 298</t>
  </si>
  <si>
    <t>$1098.09</t>
  </si>
  <si>
    <t>Cust. 299</t>
  </si>
  <si>
    <t>customer 300</t>
  </si>
  <si>
    <t>03/01/2024</t>
  </si>
  <si>
    <t>1383.56 EUR</t>
  </si>
  <si>
    <t>2024-08-07</t>
  </si>
  <si>
    <t>customer 302</t>
  </si>
  <si>
    <t>Cust. 303</t>
  </si>
  <si>
    <t>2214.13 EUR</t>
  </si>
  <si>
    <t>ORD-1304</t>
  </si>
  <si>
    <t>01-24-2024</t>
  </si>
  <si>
    <t>$929.7</t>
  </si>
  <si>
    <t>2024-01-10</t>
  </si>
  <si>
    <t>customer 305</t>
  </si>
  <si>
    <t>723.83 EUR</t>
  </si>
  <si>
    <t>2024-10-31</t>
  </si>
  <si>
    <t>Customer 306</t>
  </si>
  <si>
    <t>2024-08-30</t>
  </si>
  <si>
    <t>Cust. 307</t>
  </si>
  <si>
    <t>2120.51 EUR</t>
  </si>
  <si>
    <t>2024-08-02</t>
  </si>
  <si>
    <t>Cust. 308</t>
  </si>
  <si>
    <t>2024-07-02</t>
  </si>
  <si>
    <t>$2125.14</t>
  </si>
  <si>
    <t>2024-02-26</t>
  </si>
  <si>
    <t>Customer 310</t>
  </si>
  <si>
    <t>08-25-2024</t>
  </si>
  <si>
    <t>Cust. 311</t>
  </si>
  <si>
    <t>197.74 EUR</t>
  </si>
  <si>
    <t>ORD-1312</t>
  </si>
  <si>
    <t>03-11-2024</t>
  </si>
  <si>
    <t>2006.9 EUR</t>
  </si>
  <si>
    <t>ORD-1313</t>
  </si>
  <si>
    <t>customer 314</t>
  </si>
  <si>
    <t>ORD-1315</t>
  </si>
  <si>
    <t>Customer 315</t>
  </si>
  <si>
    <t>ORD-1316</t>
  </si>
  <si>
    <t>08/12/2024</t>
  </si>
  <si>
    <t>1948.03 EUR</t>
  </si>
  <si>
    <t>ORD-1318</t>
  </si>
  <si>
    <t>Customer 318</t>
  </si>
  <si>
    <t>2024-06-10</t>
  </si>
  <si>
    <t>Customer 319</t>
  </si>
  <si>
    <t>ORD-1320</t>
  </si>
  <si>
    <t>09-17-2024</t>
  </si>
  <si>
    <t>Customer 320</t>
  </si>
  <si>
    <t>2025-01-01</t>
  </si>
  <si>
    <t>customer 321</t>
  </si>
  <si>
    <t>Customer 322</t>
  </si>
  <si>
    <t>Customer 323</t>
  </si>
  <si>
    <t>$612.21</t>
  </si>
  <si>
    <t>$1989.69</t>
  </si>
  <si>
    <t>ORD-1326</t>
  </si>
  <si>
    <t>08-19-2024</t>
  </si>
  <si>
    <t>Cust. 326</t>
  </si>
  <si>
    <t>2424.15 EUR</t>
  </si>
  <si>
    <t>17/12/2024</t>
  </si>
  <si>
    <t>Cust. 327</t>
  </si>
  <si>
    <t>1068.62 EUR</t>
  </si>
  <si>
    <t>ORD-1328</t>
  </si>
  <si>
    <t>2024-12-11</t>
  </si>
  <si>
    <t>Customer 328</t>
  </si>
  <si>
    <t>$2256.21</t>
  </si>
  <si>
    <t>customer 329</t>
  </si>
  <si>
    <t>2066.0 EUR</t>
  </si>
  <si>
    <t>01-15-2025</t>
  </si>
  <si>
    <t>Customer 330</t>
  </si>
  <si>
    <t>customer 331</t>
  </si>
  <si>
    <t>ORD-1332</t>
  </si>
  <si>
    <t>2024-04-05</t>
  </si>
  <si>
    <t>18/06/2024</t>
  </si>
  <si>
    <t>Cust. 333</t>
  </si>
  <si>
    <t>1425.68 EUR</t>
  </si>
  <si>
    <t>07/02/2024</t>
  </si>
  <si>
    <t>customer 334</t>
  </si>
  <si>
    <t>$2362.89</t>
  </si>
  <si>
    <t>02-17-2024</t>
  </si>
  <si>
    <t>Cust. 335</t>
  </si>
  <si>
    <t>1080.74 EUR</t>
  </si>
  <si>
    <t>28/02/2024</t>
  </si>
  <si>
    <t>Customer 336</t>
  </si>
  <si>
    <t>$2738.44</t>
  </si>
  <si>
    <t>2024-03-26</t>
  </si>
  <si>
    <t>customer 338</t>
  </si>
  <si>
    <t>27/11/2024</t>
  </si>
  <si>
    <t>Customer 339</t>
  </si>
  <si>
    <t>Cust. 340</t>
  </si>
  <si>
    <t>2024-12-10</t>
  </si>
  <si>
    <t>Customer 341</t>
  </si>
  <si>
    <t>ORD-1342</t>
  </si>
  <si>
    <t>Customer 342</t>
  </si>
  <si>
    <t>20/11/2024</t>
  </si>
  <si>
    <t>Customer 343</t>
  </si>
  <si>
    <t>$475.02</t>
  </si>
  <si>
    <t>customer 344</t>
  </si>
  <si>
    <t>$669.66</t>
  </si>
  <si>
    <t>Customer 345</t>
  </si>
  <si>
    <t>06-18-2024</t>
  </si>
  <si>
    <t>Customer 346</t>
  </si>
  <si>
    <t>1103.56 EUR</t>
  </si>
  <si>
    <t>ORD-1347</t>
  </si>
  <si>
    <t>customer 347</t>
  </si>
  <si>
    <t>$1773.3</t>
  </si>
  <si>
    <t>ORD-1348</t>
  </si>
  <si>
    <t>Cust. 348</t>
  </si>
  <si>
    <t>23/05/2024</t>
  </si>
  <si>
    <t>Cust. 349</t>
  </si>
  <si>
    <t>2583.21 EUR</t>
  </si>
  <si>
    <t>20/02/2025</t>
  </si>
  <si>
    <t>Customer 350</t>
  </si>
  <si>
    <t>Customer 351</t>
  </si>
  <si>
    <t>$708.75</t>
  </si>
  <si>
    <t>22/01/2025</t>
  </si>
  <si>
    <t>customer 352</t>
  </si>
  <si>
    <t>02/02/2024</t>
  </si>
  <si>
    <t>Cust. 353</t>
  </si>
  <si>
    <t>829.85 EUR</t>
  </si>
  <si>
    <t>12-26-2024</t>
  </si>
  <si>
    <t>customer 354</t>
  </si>
  <si>
    <t>$2906.9</t>
  </si>
  <si>
    <t>Cust. 355</t>
  </si>
  <si>
    <t>2919.39 EUR</t>
  </si>
  <si>
    <t>08-13-2024</t>
  </si>
  <si>
    <t>customer 356</t>
  </si>
  <si>
    <t>ORD-1357</t>
  </si>
  <si>
    <t>customer 358</t>
  </si>
  <si>
    <t>1797.43 EUR</t>
  </si>
  <si>
    <t>03/01/2025</t>
  </si>
  <si>
    <t>$2197.52</t>
  </si>
  <si>
    <t>02-10-2025</t>
  </si>
  <si>
    <t>customer 360</t>
  </si>
  <si>
    <t>1768.81 EUR</t>
  </si>
  <si>
    <t>12/07/2024</t>
  </si>
  <si>
    <t>customer 362</t>
  </si>
  <si>
    <t>ORD-1364</t>
  </si>
  <si>
    <t>Cust. 364</t>
  </si>
  <si>
    <t>ORD-1365</t>
  </si>
  <si>
    <t>07-11-2024</t>
  </si>
  <si>
    <t>Customer 365</t>
  </si>
  <si>
    <t>$1980.91</t>
  </si>
  <si>
    <t>customer 366</t>
  </si>
  <si>
    <t>$1128.65</t>
  </si>
  <si>
    <t>customer 367</t>
  </si>
  <si>
    <t>$2966.1</t>
  </si>
  <si>
    <t>2024-04-19</t>
  </si>
  <si>
    <t>customer 368</t>
  </si>
  <si>
    <t>$1549.61</t>
  </si>
  <si>
    <t>ORD-1369</t>
  </si>
  <si>
    <t>2024-02-15</t>
  </si>
  <si>
    <t>Customer 369</t>
  </si>
  <si>
    <t>239.04 EUR</t>
  </si>
  <si>
    <t>ORD-1370</t>
  </si>
  <si>
    <t>2025-01-31</t>
  </si>
  <si>
    <t>customer 370</t>
  </si>
  <si>
    <t>ORD-1371</t>
  </si>
  <si>
    <t>Customer 371</t>
  </si>
  <si>
    <t>2024-10-27</t>
  </si>
  <si>
    <t>Customer 372</t>
  </si>
  <si>
    <t>ORD-1373</t>
  </si>
  <si>
    <t>Customer 373</t>
  </si>
  <si>
    <t>1838.77 EUR</t>
  </si>
  <si>
    <t>06-23-2024</t>
  </si>
  <si>
    <t>$2843.7</t>
  </si>
  <si>
    <t>10-27-2024</t>
  </si>
  <si>
    <t>Customer 375</t>
  </si>
  <si>
    <t>09-21-2024</t>
  </si>
  <si>
    <t>Customer 376</t>
  </si>
  <si>
    <t>$1630.17</t>
  </si>
  <si>
    <t>09/06/2024</t>
  </si>
  <si>
    <t>$1092.94</t>
  </si>
  <si>
    <t>Customer 378</t>
  </si>
  <si>
    <t>$2517.19</t>
  </si>
  <si>
    <t>ORD-1379</t>
  </si>
  <si>
    <t>09-03-2024</t>
  </si>
  <si>
    <t>$1145.03</t>
  </si>
  <si>
    <t>2024-09-26</t>
  </si>
  <si>
    <t>Cust. 380</t>
  </si>
  <si>
    <t>10/06/2024</t>
  </si>
  <si>
    <t>ORD-1382</t>
  </si>
  <si>
    <t>$844.75</t>
  </si>
  <si>
    <t>04-02-2024</t>
  </si>
  <si>
    <t>customer 383</t>
  </si>
  <si>
    <t>1735.66 EUR</t>
  </si>
  <si>
    <t>ORD-1384</t>
  </si>
  <si>
    <t>customer 384</t>
  </si>
  <si>
    <t>2426.72 EUR</t>
  </si>
  <si>
    <t>ORD-1385</t>
  </si>
  <si>
    <t>2024-10-14</t>
  </si>
  <si>
    <t>customer 385</t>
  </si>
  <si>
    <t>ORD-1386</t>
  </si>
  <si>
    <t>01-16-2025</t>
  </si>
  <si>
    <t>Cust. 386</t>
  </si>
  <si>
    <t>$1037.24</t>
  </si>
  <si>
    <t>$889.6</t>
  </si>
  <si>
    <t>ORD-1388</t>
  </si>
  <si>
    <t>Customer 388</t>
  </si>
  <si>
    <t>$2432.77</t>
  </si>
  <si>
    <t>ORD-1389</t>
  </si>
  <si>
    <t>Cust. 389</t>
  </si>
  <si>
    <t>2024-03-05</t>
  </si>
  <si>
    <t>customer 390</t>
  </si>
  <si>
    <t>$2196.93</t>
  </si>
  <si>
    <t>01-14-2024</t>
  </si>
  <si>
    <t>customer 391</t>
  </si>
  <si>
    <t>14/08/2024</t>
  </si>
  <si>
    <t>Customer 392</t>
  </si>
  <si>
    <t>1898.12 EUR</t>
  </si>
  <si>
    <t>1362.29 EUR</t>
  </si>
  <si>
    <t>ORD-1394</t>
  </si>
  <si>
    <t>Cust. 394</t>
  </si>
  <si>
    <t>$314.18</t>
  </si>
  <si>
    <t>ORD-1395</t>
  </si>
  <si>
    <t>08-28-2024</t>
  </si>
  <si>
    <t>Customer 395</t>
  </si>
  <si>
    <t>ORD-1396</t>
  </si>
  <si>
    <t>06/04/2024</t>
  </si>
  <si>
    <t>customer 396</t>
  </si>
  <si>
    <t>ORD-1397</t>
  </si>
  <si>
    <t>08-04-2024</t>
  </si>
  <si>
    <t>$1894.7</t>
  </si>
  <si>
    <t>11-12-2024</t>
  </si>
  <si>
    <t>Customer 398</t>
  </si>
  <si>
    <t>customer 399</t>
  </si>
  <si>
    <t>ORD-1400</t>
  </si>
  <si>
    <t>2024-08-25</t>
  </si>
  <si>
    <t>customer 400</t>
  </si>
  <si>
    <t>ORD-1401</t>
  </si>
  <si>
    <t>2024-04-08</t>
  </si>
  <si>
    <t>Customer 401</t>
  </si>
  <si>
    <t>$2692.31</t>
  </si>
  <si>
    <t>11/04/2024</t>
  </si>
  <si>
    <t>ORD-1403</t>
  </si>
  <si>
    <t>Cust. 403</t>
  </si>
  <si>
    <t>2024-06-15</t>
  </si>
  <si>
    <t>$94.45</t>
  </si>
  <si>
    <t>Customer 405</t>
  </si>
  <si>
    <t>2323.85 EUR</t>
  </si>
  <si>
    <t>customer 406</t>
  </si>
  <si>
    <t>ORD-1407</t>
  </si>
  <si>
    <t>2024-12-18</t>
  </si>
  <si>
    <t>1164.42 EUR</t>
  </si>
  <si>
    <t>ORD-1408</t>
  </si>
  <si>
    <t>Cust. 408</t>
  </si>
  <si>
    <t>$600.55</t>
  </si>
  <si>
    <t>08-18-2024</t>
  </si>
  <si>
    <t>$922.23</t>
  </si>
  <si>
    <t>2025-02-01</t>
  </si>
  <si>
    <t>$1879.58</t>
  </si>
  <si>
    <t>2024-06-14</t>
  </si>
  <si>
    <t>Customer 411</t>
  </si>
  <si>
    <t>$1258.92</t>
  </si>
  <si>
    <t>Cust. 412</t>
  </si>
  <si>
    <t>ORD-1413</t>
  </si>
  <si>
    <t>Cust. 413</t>
  </si>
  <si>
    <t>2024-06-04</t>
  </si>
  <si>
    <t>Customer 414</t>
  </si>
  <si>
    <t>279.91 EUR</t>
  </si>
  <si>
    <t>Customer 415</t>
  </si>
  <si>
    <t>1894.71 EUR</t>
  </si>
  <si>
    <t>Cust. 416</t>
  </si>
  <si>
    <t>542.09 EUR</t>
  </si>
  <si>
    <t>customer 417</t>
  </si>
  <si>
    <t>2024-08-19</t>
  </si>
  <si>
    <t>Cust. 418</t>
  </si>
  <si>
    <t>04-19-2024</t>
  </si>
  <si>
    <t>customer 419</t>
  </si>
  <si>
    <t>ORD-1420</t>
  </si>
  <si>
    <t>$787.08</t>
  </si>
  <si>
    <t>12-19-2024</t>
  </si>
  <si>
    <t>Customer 421</t>
  </si>
  <si>
    <t>2024-08-01</t>
  </si>
  <si>
    <t>2024-06-16</t>
  </si>
  <si>
    <t>1532.08 EUR</t>
  </si>
  <si>
    <t>ORD-1424</t>
  </si>
  <si>
    <t>2025-02-06</t>
  </si>
  <si>
    <t>1213.25 EUR</t>
  </si>
  <si>
    <t>customer 425</t>
  </si>
  <si>
    <t>1331.75 EUR</t>
  </si>
  <si>
    <t>ORD-1426</t>
  </si>
  <si>
    <t>Customer 426</t>
  </si>
  <si>
    <t>10-31-2024</t>
  </si>
  <si>
    <t>$1983.46</t>
  </si>
  <si>
    <t>2024-03-20</t>
  </si>
  <si>
    <t>customer 428</t>
  </si>
  <si>
    <t>ORD-1429</t>
  </si>
  <si>
    <t>05/06/2024</t>
  </si>
  <si>
    <t>customer 429</t>
  </si>
  <si>
    <t>ORD-1430</t>
  </si>
  <si>
    <t>2024-12-21</t>
  </si>
  <si>
    <t>Cust. 430</t>
  </si>
  <si>
    <t>ORD-1431</t>
  </si>
  <si>
    <t>Cust. 431</t>
  </si>
  <si>
    <t>09-07-2024</t>
  </si>
  <si>
    <t>Cust. 433</t>
  </si>
  <si>
    <t>1210.53 EUR</t>
  </si>
  <si>
    <t>07-17-2024</t>
  </si>
  <si>
    <t>customer 434</t>
  </si>
  <si>
    <t>ORD-1435</t>
  </si>
  <si>
    <t>08-01-2024</t>
  </si>
  <si>
    <t>Cust. 435</t>
  </si>
  <si>
    <t>759.06 EUR</t>
  </si>
  <si>
    <t>ORD-1436</t>
  </si>
  <si>
    <t>11/03/2024</t>
  </si>
  <si>
    <t>customer 436</t>
  </si>
  <si>
    <t>961.55 EUR</t>
  </si>
  <si>
    <t>ORD-1437</t>
  </si>
  <si>
    <t>Cust. 437</t>
  </si>
  <si>
    <t>$136.98</t>
  </si>
  <si>
    <t>04/04/2024</t>
  </si>
  <si>
    <t>customer 438</t>
  </si>
  <si>
    <t>$127.28</t>
  </si>
  <si>
    <t>09-14-2024</t>
  </si>
  <si>
    <t>customer 439</t>
  </si>
  <si>
    <t>ORD-1440</t>
  </si>
  <si>
    <t>customer 440</t>
  </si>
  <si>
    <t>23/09/2024</t>
  </si>
  <si>
    <t>ORD-1443</t>
  </si>
  <si>
    <t>customer 443</t>
  </si>
  <si>
    <t>$1346.68</t>
  </si>
  <si>
    <t>16/02/2024</t>
  </si>
  <si>
    <t>20/08/2024</t>
  </si>
  <si>
    <t>Customer 445</t>
  </si>
  <si>
    <t>$316.03</t>
  </si>
  <si>
    <t>ORD-1446</t>
  </si>
  <si>
    <t>Customer 446</t>
  </si>
  <si>
    <t>2383.65 EUR</t>
  </si>
  <si>
    <t>ORD-1447</t>
  </si>
  <si>
    <t>01-28-2025</t>
  </si>
  <si>
    <t>2024-01-07</t>
  </si>
  <si>
    <t>11-03-2024</t>
  </si>
  <si>
    <t>customer 449</t>
  </si>
  <si>
    <t>1820.3 EUR</t>
  </si>
  <si>
    <t>ORD-1450</t>
  </si>
  <si>
    <t>2024-12-07</t>
  </si>
  <si>
    <t>Customer 450</t>
  </si>
  <si>
    <t>$1755.37</t>
  </si>
  <si>
    <t>2024-08-21</t>
  </si>
  <si>
    <t>Cust. 451</t>
  </si>
  <si>
    <t>$2260.54</t>
  </si>
  <si>
    <t>ORD-1452</t>
  </si>
  <si>
    <t>customer 452</t>
  </si>
  <si>
    <t>$446.91</t>
  </si>
  <si>
    <t>ORD-1453</t>
  </si>
  <si>
    <t>09-04-2024</t>
  </si>
  <si>
    <t>Cust. 453</t>
  </si>
  <si>
    <t>$2186.02</t>
  </si>
  <si>
    <t>ORD-1454</t>
  </si>
  <si>
    <t>customer 454</t>
  </si>
  <si>
    <t>ORD-1455</t>
  </si>
  <si>
    <t>2025-01-12</t>
  </si>
  <si>
    <t>Cust. 455</t>
  </si>
  <si>
    <t>ORD-1456</t>
  </si>
  <si>
    <t>05-10-2024</t>
  </si>
  <si>
    <t>Customer 456</t>
  </si>
  <si>
    <t>$2381.08</t>
  </si>
  <si>
    <t>$622.35</t>
  </si>
  <si>
    <t>ORD-1458</t>
  </si>
  <si>
    <t>2024-10-01</t>
  </si>
  <si>
    <t>Cust. 458</t>
  </si>
  <si>
    <t>22/10/2024</t>
  </si>
  <si>
    <t>Cust. 459</t>
  </si>
  <si>
    <t>$2072.21</t>
  </si>
  <si>
    <t>04-05-2024</t>
  </si>
  <si>
    <t>Customer 460</t>
  </si>
  <si>
    <t>$1805.82</t>
  </si>
  <si>
    <t>04-20-2024</t>
  </si>
  <si>
    <t>Customer 461</t>
  </si>
  <si>
    <t>1599.05 EUR</t>
  </si>
  <si>
    <t>04-07-2024</t>
  </si>
  <si>
    <t>Cust. 462</t>
  </si>
  <si>
    <t>08-23-2024</t>
  </si>
  <si>
    <t>Customer 463</t>
  </si>
  <si>
    <t>09-23-2024</t>
  </si>
  <si>
    <t>customer 464</t>
  </si>
  <si>
    <t>$2310.23</t>
  </si>
  <si>
    <t>12-09-2024</t>
  </si>
  <si>
    <t>Customer 465</t>
  </si>
  <si>
    <t>397.07 EUR</t>
  </si>
  <si>
    <t>10-08-2024</t>
  </si>
  <si>
    <t>customer 466</t>
  </si>
  <si>
    <t>989.53 EUR</t>
  </si>
  <si>
    <t>Customer 467</t>
  </si>
  <si>
    <t>$1099.09</t>
  </si>
  <si>
    <t>Cust. 469</t>
  </si>
  <si>
    <t>733.5 EUR</t>
  </si>
  <si>
    <t>ORD-1470</t>
  </si>
  <si>
    <t>customer 470</t>
  </si>
  <si>
    <t>$1452.24</t>
  </si>
  <si>
    <t>ORD-1471</t>
  </si>
  <si>
    <t>2025-02-22</t>
  </si>
  <si>
    <t>Cust. 471</t>
  </si>
  <si>
    <t>ORD-1472</t>
  </si>
  <si>
    <t>2024-10-07</t>
  </si>
  <si>
    <t>Cust. 472</t>
  </si>
  <si>
    <t>Customer 473</t>
  </si>
  <si>
    <t>ORD-1475</t>
  </si>
  <si>
    <t>01-22-2025</t>
  </si>
  <si>
    <t>482.84 EUR</t>
  </si>
  <si>
    <t>ORD-1476</t>
  </si>
  <si>
    <t>Customer 476</t>
  </si>
  <si>
    <t>$2393.32</t>
  </si>
  <si>
    <t>07-08-2024</t>
  </si>
  <si>
    <t>Customer 477</t>
  </si>
  <si>
    <t>ORD-1478</t>
  </si>
  <si>
    <t>ORD-1479</t>
  </si>
  <si>
    <t>03/07/2024</t>
  </si>
  <si>
    <t>customer 479</t>
  </si>
  <si>
    <t>2527.89 EUR</t>
  </si>
  <si>
    <t>ORD-1480</t>
  </si>
  <si>
    <t>customer 480</t>
  </si>
  <si>
    <t>customer 481</t>
  </si>
  <si>
    <t>Customer 482</t>
  </si>
  <si>
    <t>$1726.04</t>
  </si>
  <si>
    <t>Customer 483</t>
  </si>
  <si>
    <t>ORD-1484</t>
  </si>
  <si>
    <t>Cust. 484</t>
  </si>
  <si>
    <t>customer 485</t>
  </si>
  <si>
    <t>$2365.81</t>
  </si>
  <si>
    <t>ORD-1486</t>
  </si>
  <si>
    <t>02-12-2024</t>
  </si>
  <si>
    <t>customer 486</t>
  </si>
  <si>
    <t>ORD-1487</t>
  </si>
  <si>
    <t>29/10/2024</t>
  </si>
  <si>
    <t>Cust. 487</t>
  </si>
  <si>
    <t>ORD-1488</t>
  </si>
  <si>
    <t>2903.67 EUR</t>
  </si>
  <si>
    <t>28/01/2024</t>
  </si>
  <si>
    <t>08-30-2024</t>
  </si>
  <si>
    <t>ORD-1491</t>
  </si>
  <si>
    <t>Cust. 491</t>
  </si>
  <si>
    <t>$1850.93</t>
  </si>
  <si>
    <t>01-10-2025</t>
  </si>
  <si>
    <t>customer 492</t>
  </si>
  <si>
    <t>2032.08 EUR</t>
  </si>
  <si>
    <t>ORD-1493</t>
  </si>
  <si>
    <t>Cust. 493</t>
  </si>
  <si>
    <t>02/11/2024</t>
  </si>
  <si>
    <t>Cust. 495</t>
  </si>
  <si>
    <t>ORD-1496</t>
  </si>
  <si>
    <t>Cust. 496</t>
  </si>
  <si>
    <t>customer 497</t>
  </si>
  <si>
    <t>ORD-1498</t>
  </si>
  <si>
    <t>2024-02-06</t>
  </si>
  <si>
    <t>$1735.47</t>
  </si>
  <si>
    <t>2024-03-18</t>
  </si>
  <si>
    <t>12-18-2024</t>
  </si>
  <si>
    <t>Cust. 500</t>
  </si>
  <si>
    <t>11/02/2024</t>
  </si>
  <si>
    <t>customer 501</t>
  </si>
  <si>
    <t>$2531.49</t>
  </si>
  <si>
    <t>customer 502</t>
  </si>
  <si>
    <t>ORD-1503</t>
  </si>
  <si>
    <t>Customer 503</t>
  </si>
  <si>
    <t>$2388.58</t>
  </si>
  <si>
    <t>17/02/2025</t>
  </si>
  <si>
    <t>customer 504</t>
  </si>
  <si>
    <t>12/11/2024</t>
  </si>
  <si>
    <t>Customer 505</t>
  </si>
  <si>
    <t>185.11 EUR</t>
  </si>
  <si>
    <t>1516.57 EUR</t>
  </si>
  <si>
    <t>13/06/2024</t>
  </si>
  <si>
    <t>Cust. 507</t>
  </si>
  <si>
    <t>2517.46 EUR</t>
  </si>
  <si>
    <t>2024-10-10</t>
  </si>
  <si>
    <t>customer 508</t>
  </si>
  <si>
    <t>536.77 EUR</t>
  </si>
  <si>
    <t>2024-09-24</t>
  </si>
  <si>
    <t>customer 510</t>
  </si>
  <si>
    <t>1378.74 EUR</t>
  </si>
  <si>
    <t>2024-10-12</t>
  </si>
  <si>
    <t>Cust. 511</t>
  </si>
  <si>
    <t>Customer 513</t>
  </si>
  <si>
    <t>$1332.28</t>
  </si>
  <si>
    <t>Cust. 514</t>
  </si>
  <si>
    <t>392.39 EUR</t>
  </si>
  <si>
    <t>customer 515</t>
  </si>
  <si>
    <t>ORD-1516</t>
  </si>
  <si>
    <t>ORD-1517</t>
  </si>
  <si>
    <t>17/01/2024</t>
  </si>
  <si>
    <t>Customer 517</t>
  </si>
  <si>
    <t>05/11/2024</t>
  </si>
  <si>
    <t>Customer 518</t>
  </si>
  <si>
    <t>512.52 EUR</t>
  </si>
  <si>
    <t>01-08-2024</t>
  </si>
  <si>
    <t>2203.55 EUR</t>
  </si>
  <si>
    <t>ORD-1520</t>
  </si>
  <si>
    <t>12/10/2024</t>
  </si>
  <si>
    <t>Cust. 521</t>
  </si>
  <si>
    <t>ORD-1522</t>
  </si>
  <si>
    <t>customer 522</t>
  </si>
  <si>
    <t>2024-11-17</t>
  </si>
  <si>
    <t>Cust. 523</t>
  </si>
  <si>
    <t>$258.56</t>
  </si>
  <si>
    <t>11-13-2024</t>
  </si>
  <si>
    <t>Customer 524</t>
  </si>
  <si>
    <t>customer 525</t>
  </si>
  <si>
    <t>ORD-1526</t>
  </si>
  <si>
    <t>01-20-2025</t>
  </si>
  <si>
    <t>Cust. 526</t>
  </si>
  <si>
    <t>2247.8 EUR</t>
  </si>
  <si>
    <t>ORD-1527</t>
  </si>
  <si>
    <t>2024-07-19</t>
  </si>
  <si>
    <t>customer 528</t>
  </si>
  <si>
    <t>$2698.94</t>
  </si>
  <si>
    <t>ORD-1529</t>
  </si>
  <si>
    <t>1278.78 EUR</t>
  </si>
  <si>
    <t>ORD-1530</t>
  </si>
  <si>
    <t>02-14-2025</t>
  </si>
  <si>
    <t>Cust. 530</t>
  </si>
  <si>
    <t>$735.37</t>
  </si>
  <si>
    <t>10-17-2024</t>
  </si>
  <si>
    <t>customer 531</t>
  </si>
  <si>
    <t>$439.27</t>
  </si>
  <si>
    <t>03-26-2024</t>
  </si>
  <si>
    <t>customer 532</t>
  </si>
  <si>
    <t>1874.96 EUR</t>
  </si>
  <si>
    <t>ORD-1533</t>
  </si>
  <si>
    <t>06-11-2024</t>
  </si>
  <si>
    <t>customer 533</t>
  </si>
  <si>
    <t>08-17-2024</t>
  </si>
  <si>
    <t>Customer 534</t>
  </si>
  <si>
    <t>1642.61 EUR</t>
  </si>
  <si>
    <t>01-13-2025</t>
  </si>
  <si>
    <t>$1661.13</t>
  </si>
  <si>
    <t>18/12/2024</t>
  </si>
  <si>
    <t>Customer 536</t>
  </si>
  <si>
    <t>16/06/2024</t>
  </si>
  <si>
    <t>Cust. 537</t>
  </si>
  <si>
    <t>212.35 EUR</t>
  </si>
  <si>
    <t>ORD-1538</t>
  </si>
  <si>
    <t>2024-09-19</t>
  </si>
  <si>
    <t>Cust. 538</t>
  </si>
  <si>
    <t>ORD-1539</t>
  </si>
  <si>
    <t>2024-05-25</t>
  </si>
  <si>
    <t>customer 539</t>
  </si>
  <si>
    <t>$1067.51</t>
  </si>
  <si>
    <t>customer 540</t>
  </si>
  <si>
    <t>2694.47 EUR</t>
  </si>
  <si>
    <t>ORD-1541</t>
  </si>
  <si>
    <t>15/02/2024</t>
  </si>
  <si>
    <t>$69.53</t>
  </si>
  <si>
    <t>10-10-2024</t>
  </si>
  <si>
    <t>$1497.23</t>
  </si>
  <si>
    <t>06-02-2024</t>
  </si>
  <si>
    <t>$1816.73</t>
  </si>
  <si>
    <t>05-12-2024</t>
  </si>
  <si>
    <t>Cust. 546</t>
  </si>
  <si>
    <t>$2740.71</t>
  </si>
  <si>
    <t>ORD-1547</t>
  </si>
  <si>
    <t>11-02-2024</t>
  </si>
  <si>
    <t>Cust. 547</t>
  </si>
  <si>
    <t>$2270.25</t>
  </si>
  <si>
    <t>ORD-1548</t>
  </si>
  <si>
    <t>$88.05</t>
  </si>
  <si>
    <t>ORD-1549</t>
  </si>
  <si>
    <t>Customer 549</t>
  </si>
  <si>
    <t>03-12-2024</t>
  </si>
  <si>
    <t>Customer 550</t>
  </si>
  <si>
    <t>$2460.26</t>
  </si>
  <si>
    <t>ORD-1551</t>
  </si>
  <si>
    <t>Customer 551</t>
  </si>
  <si>
    <t>ORD-1552</t>
  </si>
  <si>
    <t>2025-02-10</t>
  </si>
  <si>
    <t>Cust. 552</t>
  </si>
  <si>
    <t>Customer 553</t>
  </si>
  <si>
    <t>2708.47 EUR</t>
  </si>
  <si>
    <t>2024-09-13</t>
  </si>
  <si>
    <t>Customer 554</t>
  </si>
  <si>
    <t>2353.37 EUR</t>
  </si>
  <si>
    <t>2024-05-24</t>
  </si>
  <si>
    <t>customer 555</t>
  </si>
  <si>
    <t>ORD-1556</t>
  </si>
  <si>
    <t>02/04/2024</t>
  </si>
  <si>
    <t>customer 556</t>
  </si>
  <si>
    <t>2024-09-10</t>
  </si>
  <si>
    <t>Customer 557</t>
  </si>
  <si>
    <t>$2298.71</t>
  </si>
  <si>
    <t>Cust. 558</t>
  </si>
  <si>
    <t>21/12/2024</t>
  </si>
  <si>
    <t>Customer 560</t>
  </si>
  <si>
    <t>08-05-2024</t>
  </si>
  <si>
    <t>$2189.34</t>
  </si>
  <si>
    <t>03-16-2024</t>
  </si>
  <si>
    <t>Cust. 563</t>
  </si>
  <si>
    <t>$1424.76</t>
  </si>
  <si>
    <t>ORD-1565</t>
  </si>
  <si>
    <t>Cust. 565</t>
  </si>
  <si>
    <t>12-27-2024</t>
  </si>
  <si>
    <t>1708.65 EUR</t>
  </si>
  <si>
    <t>Cust. 568</t>
  </si>
  <si>
    <t>ORD-1569</t>
  </si>
  <si>
    <t>2024-06-25</t>
  </si>
  <si>
    <t>customer 569</t>
  </si>
  <si>
    <t>06-05-2024</t>
  </si>
  <si>
    <t>Customer 570</t>
  </si>
  <si>
    <t>387.69 EUR</t>
  </si>
  <si>
    <t>ORD-1571</t>
  </si>
  <si>
    <t>06-21-2024</t>
  </si>
  <si>
    <t>Cust. 572</t>
  </si>
  <si>
    <t>$1515.36</t>
  </si>
  <si>
    <t>2024-01-25</t>
  </si>
  <si>
    <t>Customer 573</t>
  </si>
  <si>
    <t>04-17-2024</t>
  </si>
  <si>
    <t>Cust. 574</t>
  </si>
  <si>
    <t>15/11/2024</t>
  </si>
  <si>
    <t>1570.34 EUR</t>
  </si>
  <si>
    <t>16/10/2024</t>
  </si>
  <si>
    <t>Cust. 576</t>
  </si>
  <si>
    <t>ORD-1577</t>
  </si>
  <si>
    <t>02-02-2024</t>
  </si>
  <si>
    <t>customer 577</t>
  </si>
  <si>
    <t>ORD-1578</t>
  </si>
  <si>
    <t>$131.73</t>
  </si>
  <si>
    <t>12/05/2024</t>
  </si>
  <si>
    <t>Customer 579</t>
  </si>
  <si>
    <t>$2379.53</t>
  </si>
  <si>
    <t>ORD-1580</t>
  </si>
  <si>
    <t>ORD-1581</t>
  </si>
  <si>
    <t>customer 581</t>
  </si>
  <si>
    <t>$2009.44</t>
  </si>
  <si>
    <t>ORD-1582</t>
  </si>
  <si>
    <t>16/02/2025</t>
  </si>
  <si>
    <t>customer 582</t>
  </si>
  <si>
    <t>2257.7 EUR</t>
  </si>
  <si>
    <t>ORD-1583</t>
  </si>
  <si>
    <t>2025-02-24</t>
  </si>
  <si>
    <t>customer 584</t>
  </si>
  <si>
    <t>ORD-1585</t>
  </si>
  <si>
    <t>08-14-2024</t>
  </si>
  <si>
    <t>Customer 585</t>
  </si>
  <si>
    <t>02-19-2025</t>
  </si>
  <si>
    <t>Customer 586</t>
  </si>
  <si>
    <t>ORD-1587</t>
  </si>
  <si>
    <t>Cust. 587</t>
  </si>
  <si>
    <t>ORD-1588</t>
  </si>
  <si>
    <t>2024-01-02</t>
  </si>
  <si>
    <t>Customer 588</t>
  </si>
  <si>
    <t>$1231.95</t>
  </si>
  <si>
    <t>ORD-1589</t>
  </si>
  <si>
    <t>19/08/2024</t>
  </si>
  <si>
    <t>Cust. 589</t>
  </si>
  <si>
    <t>1461.18 EUR</t>
  </si>
  <si>
    <t>2024-07-12</t>
  </si>
  <si>
    <t>customer 590</t>
  </si>
  <si>
    <t>2837.03 EUR</t>
  </si>
  <si>
    <t>ORD-1591</t>
  </si>
  <si>
    <t>03/11/2024</t>
  </si>
  <si>
    <t>Customer 591</t>
  </si>
  <si>
    <t>ORD-1592</t>
  </si>
  <si>
    <t>2155.01 EUR</t>
  </si>
  <si>
    <t>08-02-2024</t>
  </si>
  <si>
    <t>Cust. 593</t>
  </si>
  <si>
    <t>582.09 EUR</t>
  </si>
  <si>
    <t>ORD-1594</t>
  </si>
  <si>
    <t>customer 594</t>
  </si>
  <si>
    <t>80.44 EUR</t>
  </si>
  <si>
    <t>Cust. 595</t>
  </si>
  <si>
    <t>$223.32</t>
  </si>
  <si>
    <t>2024-06-03</t>
  </si>
  <si>
    <t>customer 596</t>
  </si>
  <si>
    <t>$2933.7</t>
  </si>
  <si>
    <t>Customer 597</t>
  </si>
  <si>
    <t>05-24-2024</t>
  </si>
  <si>
    <t>Cust. 598</t>
  </si>
  <si>
    <t>$2713.24</t>
  </si>
  <si>
    <t>Customer 599</t>
  </si>
  <si>
    <t>ORD-1600</t>
  </si>
  <si>
    <t>Customer 600</t>
  </si>
  <si>
    <t>05-25-2024</t>
  </si>
  <si>
    <t>customer 601</t>
  </si>
  <si>
    <t>582.93 EUR</t>
  </si>
  <si>
    <t>ORD-1602</t>
  </si>
  <si>
    <t>2025-01-28</t>
  </si>
  <si>
    <t>Cust. 602</t>
  </si>
  <si>
    <t>Cust. 604</t>
  </si>
  <si>
    <t>2844.88 EUR</t>
  </si>
  <si>
    <t>ORD-1605</t>
  </si>
  <si>
    <t>2024-07-23</t>
  </si>
  <si>
    <t>Customer 605</t>
  </si>
  <si>
    <t>802.73 EUR</t>
  </si>
  <si>
    <t>03-02-2024</t>
  </si>
  <si>
    <t>customer 606</t>
  </si>
  <si>
    <t>Cust. 607</t>
  </si>
  <si>
    <t>ORD-1608</t>
  </si>
  <si>
    <t>Cust. 608</t>
  </si>
  <si>
    <t>2045.5 EUR</t>
  </si>
  <si>
    <t>Customer 609</t>
  </si>
  <si>
    <t>$1593.12</t>
  </si>
  <si>
    <t>ORD-1610</t>
  </si>
  <si>
    <t>12-04-2024</t>
  </si>
  <si>
    <t>Customer 610</t>
  </si>
  <si>
    <t>$2174.91</t>
  </si>
  <si>
    <t>ORD-1611</t>
  </si>
  <si>
    <t>$295.71</t>
  </si>
  <si>
    <t>Customer 612</t>
  </si>
  <si>
    <t>Cust. 613</t>
  </si>
  <si>
    <t>$1874.57</t>
  </si>
  <si>
    <t>14/01/2024</t>
  </si>
  <si>
    <t>667.23 EUR</t>
  </si>
  <si>
    <t>16/03/2024</t>
  </si>
  <si>
    <t>customer 615</t>
  </si>
  <si>
    <t>Customer 616</t>
  </si>
  <si>
    <t>customer 617</t>
  </si>
  <si>
    <t>ORD-1618</t>
  </si>
  <si>
    <t>ORD-1619</t>
  </si>
  <si>
    <t>06/01/2025</t>
  </si>
  <si>
    <t>customer 619</t>
  </si>
  <si>
    <t>$616.99</t>
  </si>
  <si>
    <t>order_date_clean</t>
  </si>
  <si>
    <t>Original</t>
  </si>
  <si>
    <t>Unknown</t>
  </si>
  <si>
    <t>USA</t>
  </si>
  <si>
    <t>Europe</t>
  </si>
  <si>
    <t>Region_clean</t>
  </si>
  <si>
    <t>Row Labels</t>
  </si>
  <si>
    <t>Grand Total</t>
  </si>
  <si>
    <t>Product_clean</t>
  </si>
  <si>
    <t>Clean</t>
  </si>
  <si>
    <t>Sales_channel_clean</t>
  </si>
  <si>
    <t>Quantity_clean</t>
  </si>
  <si>
    <t>delivery_days_clean</t>
  </si>
  <si>
    <t>Revenue_clean</t>
  </si>
  <si>
    <t>currency_clean</t>
  </si>
  <si>
    <t>order_id_clean</t>
  </si>
  <si>
    <t>Customer_name_clean</t>
  </si>
  <si>
    <t>order_stauts_clean</t>
  </si>
  <si>
    <t>Pending</t>
  </si>
  <si>
    <t>Returned</t>
  </si>
  <si>
    <t>Sum of Revenue_clean</t>
  </si>
  <si>
    <t>Count of order_id_clean</t>
  </si>
  <si>
    <t>Average of delivery_days_clean</t>
  </si>
  <si>
    <t>Total Revenue</t>
  </si>
  <si>
    <t>Total Orders</t>
  </si>
  <si>
    <t>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</si>
</sst>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\-mm\-dd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  <xf numFmtId="43" fontId="4" fillId="0" borderId="0" xfId="1" applyFont="1"/>
    <xf numFmtId="9" fontId="4" fillId="0" borderId="0" xfId="0" applyNumberFormat="1" applyFont="1"/>
    <xf numFmtId="0" fontId="5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24">
    <dxf>
      <numFmt numFmtId="2" formatCode="0.00"/>
    </dxf>
    <dxf>
      <numFmt numFmtId="166" formatCode="0.0"/>
    </dxf>
    <dxf>
      <numFmt numFmtId="166" formatCode="0.0"/>
    </dxf>
    <dxf>
      <numFmt numFmtId="2" formatCode="0.00"/>
    </dxf>
    <dxf>
      <numFmt numFmtId="166" formatCode="0.0"/>
    </dxf>
    <dxf>
      <numFmt numFmtId="166" formatCode="0.0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[raw_ecommerce_sales_clean.xlsx]PIVOT!PivotTable3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Asia</c:v>
                </c:pt>
                <c:pt idx="1">
                  <c:v>Unknown</c:v>
                </c:pt>
                <c:pt idx="2">
                  <c:v>USA</c:v>
                </c:pt>
                <c:pt idx="3">
                  <c:v>Europe</c:v>
                </c:pt>
              </c:strCache>
            </c:strRef>
          </c:cat>
          <c:val>
            <c:numRef>
              <c:f>PIVOT!$B$4:$B$8</c:f>
              <c:numCache>
                <c:formatCode>0.0</c:formatCode>
                <c:ptCount val="4"/>
                <c:pt idx="0">
                  <c:v>89357.500000000015</c:v>
                </c:pt>
                <c:pt idx="1">
                  <c:v>195727.38999999998</c:v>
                </c:pt>
                <c:pt idx="2">
                  <c:v>205070.83999999991</c:v>
                </c:pt>
                <c:pt idx="3">
                  <c:v>220635.60999999993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9-4464-AE42-347FC1AEB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297248"/>
        <c:axId val="734296168"/>
      </c:barChart>
      <c:catAx>
        <c:axId val="73429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96168"/>
        <c:crosses val="autoZero"/>
        <c:auto val="1"/>
        <c:lblAlgn val="ctr"/>
        <c:lblOffset val="100"/>
        <c:noMultiLvlLbl val="0"/>
      </c:catAx>
      <c:valAx>
        <c:axId val="73429616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29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[raw_ecommerce_sales_clean.xlsx]PIVOT!PivotTable4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Sales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PIVOT!$F$4:$F$7</c:f>
              <c:strCache>
                <c:ptCount val="3"/>
                <c:pt idx="0">
                  <c:v>Unknown</c:v>
                </c:pt>
                <c:pt idx="1">
                  <c:v>Mobile</c:v>
                </c:pt>
                <c:pt idx="2">
                  <c:v>Online</c:v>
                </c:pt>
              </c:strCache>
            </c:strRef>
          </c:cat>
          <c:val>
            <c:numRef>
              <c:f>PIVOT!$G$4:$G$7</c:f>
              <c:numCache>
                <c:formatCode>0.0</c:formatCode>
                <c:ptCount val="3"/>
                <c:pt idx="0">
                  <c:v>147975.06999999998</c:v>
                </c:pt>
                <c:pt idx="1">
                  <c:v>214306.97999999989</c:v>
                </c:pt>
                <c:pt idx="2">
                  <c:v>348509.29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3-4D70-9CA9-27579F149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2947992"/>
        <c:axId val="1132947632"/>
      </c:barChart>
      <c:catAx>
        <c:axId val="113294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47632"/>
        <c:crosses val="autoZero"/>
        <c:auto val="1"/>
        <c:lblAlgn val="ctr"/>
        <c:lblOffset val="100"/>
        <c:noMultiLvlLbl val="0"/>
      </c:catAx>
      <c:valAx>
        <c:axId val="113294763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47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[raw_ecommerce_sales_clean.xlsx]PIVOT!PivotTable6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80-4B62-A6D2-D006049612F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0-4B62-A6D2-D006049612F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80-4B62-A6D2-D006049612F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80-4B62-A6D2-D006049612F6}"/>
              </c:ext>
            </c:extLst>
          </c:dPt>
          <c:cat>
            <c:strRef>
              <c:f>PIVOT!$F$13:$F$17</c:f>
              <c:strCache>
                <c:ptCount val="4"/>
                <c:pt idx="0">
                  <c:v>Pending</c:v>
                </c:pt>
                <c:pt idx="1">
                  <c:v>Unknown</c:v>
                </c:pt>
                <c:pt idx="2">
                  <c:v>Returned</c:v>
                </c:pt>
                <c:pt idx="3">
                  <c:v>Delivered</c:v>
                </c:pt>
              </c:strCache>
            </c:strRef>
          </c:cat>
          <c:val>
            <c:numRef>
              <c:f>PIVOT!$G$13:$G$17</c:f>
              <c:numCache>
                <c:formatCode>General</c:formatCode>
                <c:ptCount val="4"/>
                <c:pt idx="0">
                  <c:v>103</c:v>
                </c:pt>
                <c:pt idx="1">
                  <c:v>109</c:v>
                </c:pt>
                <c:pt idx="2">
                  <c:v>190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80-4B62-A6D2-D00604961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70457344"/>
        <c:axId val="1370456984"/>
      </c:barChart>
      <c:valAx>
        <c:axId val="1370456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57344"/>
        <c:crossBetween val="between"/>
      </c:valAx>
      <c:catAx>
        <c:axId val="1370457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569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7</xdr:row>
      <xdr:rowOff>3810</xdr:rowOff>
    </xdr:from>
    <xdr:to>
      <xdr:col>6</xdr:col>
      <xdr:colOff>99060</xdr:colOff>
      <xdr:row>22</xdr:row>
      <xdr:rowOff>3810</xdr:rowOff>
    </xdr:to>
    <xdr:graphicFrame macro="">
      <xdr:nvGraphicFramePr>
        <xdr:cNvPr id="2" name="Revenue by Region">
          <a:extLst>
            <a:ext uri="{FF2B5EF4-FFF2-40B4-BE49-F238E27FC236}">
              <a16:creationId xmlns:a16="http://schemas.microsoft.com/office/drawing/2014/main" id="{2A8271CF-FCBE-7D28-A01C-9B8C09E96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6</xdr:row>
      <xdr:rowOff>179070</xdr:rowOff>
    </xdr:from>
    <xdr:to>
      <xdr:col>14</xdr:col>
      <xdr:colOff>297180</xdr:colOff>
      <xdr:row>21</xdr:row>
      <xdr:rowOff>179070</xdr:rowOff>
    </xdr:to>
    <xdr:graphicFrame macro="">
      <xdr:nvGraphicFramePr>
        <xdr:cNvPr id="3" name="Revenue by Sales Channel">
          <a:extLst>
            <a:ext uri="{FF2B5EF4-FFF2-40B4-BE49-F238E27FC236}">
              <a16:creationId xmlns:a16="http://schemas.microsoft.com/office/drawing/2014/main" id="{6F1EB99A-2E35-72C0-FE53-E50517F7F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1706880</xdr:colOff>
      <xdr:row>23</xdr:row>
      <xdr:rowOff>11430</xdr:rowOff>
    </xdr:from>
    <xdr:to>
      <xdr:col>10</xdr:col>
      <xdr:colOff>243840</xdr:colOff>
      <xdr:row>38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49E1D6-2D10-7E5B-9B88-525EDA867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10972800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83C648-C347-688F-C8AD-4A4B6B18A1B0}"/>
            </a:ext>
          </a:extLst>
        </xdr:cNvPr>
        <xdr:cNvSpPr txBox="1"/>
      </xdr:nvSpPr>
      <xdr:spPr>
        <a:xfrm>
          <a:off x="0" y="0"/>
          <a:ext cx="10972800" cy="405432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2000" b="1" kern="1200"/>
            <a:t>E-commerce</a:t>
          </a:r>
          <a:r>
            <a:rPr lang="en-US" sz="2000" b="1" kern="1200" baseline="0"/>
            <a:t> Sales Performance Dashboard</a:t>
          </a:r>
          <a:endParaRPr lang="en-US" sz="2000" b="1" kern="12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enkovic, Luka" refreshedDate="46120.597042592592" createdVersion="8" refreshedVersion="8" minRefreshableVersion="3" recordCount="620" xr:uid="{2B9B2776-9EDF-4A02-A306-3959791A535D}">
  <cacheSource type="worksheet">
    <worksheetSource name="Table1"/>
  </cacheSource>
  <cacheFields count="23">
    <cacheField name="order_id" numFmtId="0">
      <sharedItems containsBlank="1" containsMixedTypes="1" containsNumber="1" containsInteger="1" minValue="1000" maxValue="1616"/>
    </cacheField>
    <cacheField name="order_id_clean" numFmtId="0">
      <sharedItems count="406">
        <s v="ORD-1000"/>
        <s v=""/>
        <s v="ORD-1003"/>
        <s v="ORD-1004"/>
        <s v="ORD-1006"/>
        <s v="ORD-1007"/>
        <s v="ORD-1008"/>
        <s v="ORD-1010"/>
        <s v="ORD-1013"/>
        <s v="ORD-1014"/>
        <s v="ORD-1016"/>
        <s v="ORD-1017"/>
        <s v="ORD-1018"/>
        <s v="ORD-1019"/>
        <s v="ORD-1022"/>
        <s v="ORD-1023"/>
        <s v="ORD-1025"/>
        <s v="ORD-1026"/>
        <s v="ORD-1027"/>
        <s v="ORD-1029"/>
        <s v="ORD-1030"/>
        <s v="ORD-1031"/>
        <s v="ORD-1035"/>
        <s v="ORD-1036"/>
        <s v="ORD-1038"/>
        <s v="ORD-1040"/>
        <s v="ORD-1041"/>
        <s v="ORD-1043"/>
        <s v="ORD-1044"/>
        <s v="ORD-1045"/>
        <s v="ORD-1046"/>
        <s v="ORD-1048"/>
        <s v="ORD-1049"/>
        <s v="ORD-1051"/>
        <s v="ORD-1052"/>
        <s v="ORD-1053"/>
        <s v="ORD-1054"/>
        <s v="ORD-1055"/>
        <s v="ORD-1056"/>
        <s v="ORD-1058"/>
        <s v="ORD-1059"/>
        <s v="ORD-1061"/>
        <s v="ORD-1063"/>
        <s v="ORD-1064"/>
        <s v="ORD-1066"/>
        <s v="ORD-1068"/>
        <s v="ORD-1069"/>
        <s v="ORD-1070"/>
        <s v="ORD-1071"/>
        <s v="ORD-1072"/>
        <s v="ORD-1074"/>
        <s v="ORD-1076"/>
        <s v="ORD-1077"/>
        <s v="ORD-1082"/>
        <s v="ORD-1084"/>
        <s v="ORD-1088"/>
        <s v="ORD-1091"/>
        <s v="ORD-1092"/>
        <s v="ORD-1095"/>
        <s v="ORD-1096"/>
        <s v="ORD-1097"/>
        <s v="ORD-1098"/>
        <s v="ORD-1100"/>
        <s v="ORD-1101"/>
        <s v="ORD-1102"/>
        <s v="ORD-1103"/>
        <s v="ORD-1104"/>
        <s v="ORD-1105"/>
        <s v="ORD-1106"/>
        <s v="ORD-1107"/>
        <s v="ORD-1109"/>
        <s v="ORD-1110"/>
        <s v="ORD-1114"/>
        <s v="ORD-1116"/>
        <s v="ORD-1117"/>
        <s v="ORD-1119"/>
        <s v="ORD-1120"/>
        <s v="ORD-1121"/>
        <s v="ORD-1122"/>
        <s v="ORD-1124"/>
        <s v="ORD-1126"/>
        <s v="ORD-1129"/>
        <s v="ORD-1131"/>
        <s v="ORD-1136"/>
        <s v="ORD-1137"/>
        <s v="ORD-1141"/>
        <s v="ORD-1143"/>
        <s v="ORD-1144"/>
        <s v="ORD-1145"/>
        <s v="ORD-1146"/>
        <s v="ORD-1148"/>
        <s v="ORD-1149"/>
        <s v="ORD-1150"/>
        <s v="ORD-1152"/>
        <s v="ORD-1154"/>
        <s v="ORD-1155"/>
        <s v="ORD-1158"/>
        <s v="ORD-1159"/>
        <s v="ORD-1160"/>
        <s v="ORD-1161"/>
        <s v="ORD-1162"/>
        <s v="ORD-1164"/>
        <s v="ORD-1165"/>
        <s v="ORD-1166"/>
        <s v="ORD-1167"/>
        <s v="ORD-1168"/>
        <s v="ORD-1169"/>
        <s v="ORD-1170"/>
        <s v="ORD-1171"/>
        <s v="ORD-1172"/>
        <s v="ORD-1174"/>
        <s v="ORD-1177"/>
        <s v="ORD-1179"/>
        <s v="ORD-1181"/>
        <s v="ORD-1186"/>
        <s v="ORD-1187"/>
        <s v="ORD-1188"/>
        <s v="ORD-1190"/>
        <s v="ORD-1192"/>
        <s v="ORD-1193"/>
        <s v="ORD-1196"/>
        <s v="ORD-1199"/>
        <s v="ORD-1200"/>
        <s v="ORD-1201"/>
        <s v="ORD-1202"/>
        <s v="ORD-1204"/>
        <s v="ORD-1205"/>
        <s v="ORD-1206"/>
        <s v="ORD-1207"/>
        <s v="ORD-1208"/>
        <s v="ORD-1209"/>
        <s v="ORD-1211"/>
        <s v="ORD-1213"/>
        <s v="ORD-1214"/>
        <s v="ORD-1216"/>
        <s v="ORD-1217"/>
        <s v="ORD-1220"/>
        <s v="ORD-1221"/>
        <s v="ORD-1224"/>
        <s v="ORD-1225"/>
        <s v="ORD-1226"/>
        <s v="ORD-1227"/>
        <s v="ORD-1228"/>
        <s v="ORD-1229"/>
        <s v="ORD-1231"/>
        <s v="ORD-1233"/>
        <s v="ORD-1234"/>
        <s v="ORD-1235"/>
        <s v="ORD-1236"/>
        <s v="ORD-1238"/>
        <s v="ORD-1239"/>
        <s v="ORD-1242"/>
        <s v="ORD-1245"/>
        <s v="ORD-1246"/>
        <s v="ORD-1248"/>
        <s v="ORD-1250"/>
        <s v="ORD-1251"/>
        <s v="ORD-1253"/>
        <s v="ORD-1254"/>
        <s v="ORD-1255"/>
        <s v="ORD-1256"/>
        <s v="ORD-1257"/>
        <s v="ORD-1258"/>
        <s v="ORD-1260"/>
        <s v="ORD-1262"/>
        <s v="ORD-1263"/>
        <s v="ORD-1265"/>
        <s v="ORD-1266"/>
        <s v="ORD-1268"/>
        <s v="ORD-1270"/>
        <s v="ORD-1271"/>
        <s v="ORD-1272"/>
        <s v="ORD-1273"/>
        <s v="ORD-1275"/>
        <s v="ORD-1276"/>
        <s v="ORD-1278"/>
        <s v="ORD-1280"/>
        <s v="ORD-1281"/>
        <s v="ORD-1286"/>
        <s v="ORD-1288"/>
        <s v="ORD-1289"/>
        <s v="ORD-1290"/>
        <s v="ORD-1291"/>
        <s v="ORD-1292"/>
        <s v="ORD-1294"/>
        <s v="ORD-1295"/>
        <s v="ORD-1297"/>
        <s v="ORD-1298"/>
        <s v="ORD-1300"/>
        <s v="ORD-1301"/>
        <s v="ORD-1302"/>
        <s v="ORD-1304"/>
        <s v="ORD-1305"/>
        <s v="ORD-1309"/>
        <s v="ORD-1310"/>
        <s v="ORD-1311"/>
        <s v="ORD-1312"/>
        <s v="ORD-1313"/>
        <s v="ORD-1315"/>
        <s v="ORD-1316"/>
        <s v="ORD-1318"/>
        <s v="ORD-1320"/>
        <s v="ORD-1321"/>
        <s v="ORD-1322"/>
        <s v="ORD-1323"/>
        <s v="ORD-1326"/>
        <s v="ORD-1328"/>
        <s v="ORD-1329"/>
        <s v="ORD-1330"/>
        <s v="ORD-1331"/>
        <s v="ORD-1332"/>
        <s v="ORD-1333"/>
        <s v="ORD-1336"/>
        <s v="ORD-1342"/>
        <s v="ORD-1343"/>
        <s v="ORD-1344"/>
        <s v="ORD-1346"/>
        <s v="ORD-1347"/>
        <s v="ORD-1348"/>
        <s v="ORD-1351"/>
        <s v="ORD-1352"/>
        <s v="ORD-1353"/>
        <s v="ORD-1357"/>
        <s v="ORD-1359"/>
        <s v="ORD-1361"/>
        <s v="ORD-1362"/>
        <s v="ORD-1363"/>
        <s v="ORD-1364"/>
        <s v="ORD-1365"/>
        <s v="ORD-1369"/>
        <s v="ORD-1370"/>
        <s v="ORD-1371"/>
        <s v="ORD-1373"/>
        <s v="ORD-1375"/>
        <s v="ORD-1376"/>
        <s v="ORD-1377"/>
        <s v="ORD-1378"/>
        <s v="ORD-1379"/>
        <s v="ORD-1382"/>
        <s v="ORD-1383"/>
        <s v="ORD-1384"/>
        <s v="ORD-1385"/>
        <s v="ORD-1386"/>
        <s v="ORD-1388"/>
        <s v="ORD-1389"/>
        <s v="ORD-1391"/>
        <s v="ORD-1394"/>
        <s v="ORD-1395"/>
        <s v="ORD-1396"/>
        <s v="ORD-1397"/>
        <s v="ORD-1398"/>
        <s v="ORD-1399"/>
        <s v="ORD-1400"/>
        <s v="ORD-1401"/>
        <s v="ORD-1403"/>
        <s v="ORD-1405"/>
        <s v="ORD-1406"/>
        <s v="ORD-1407"/>
        <s v="ORD-1408"/>
        <s v="ORD-1411"/>
        <s v="ORD-1413"/>
        <s v="ORD-1418"/>
        <s v="ORD-1420"/>
        <s v="ORD-1422"/>
        <s v="ORD-1423"/>
        <s v="ORD-1424"/>
        <s v="ORD-1425"/>
        <s v="ORD-1426"/>
        <s v="ORD-1427"/>
        <s v="ORD-1428"/>
        <s v="ORD-1429"/>
        <s v="ORD-1430"/>
        <s v="ORD-1431"/>
        <s v="ORD-1432"/>
        <s v="ORD-1433"/>
        <s v="ORD-1435"/>
        <s v="ORD-1436"/>
        <s v="ORD-1437"/>
        <s v="ORD-1440"/>
        <s v="ORD-1441"/>
        <s v="ORD-1442"/>
        <s v="ORD-1443"/>
        <s v="ORD-1444"/>
        <s v="ORD-1446"/>
        <s v="ORD-1447"/>
        <s v="ORD-1450"/>
        <s v="ORD-1451"/>
        <s v="ORD-1452"/>
        <s v="ORD-1453"/>
        <s v="ORD-1454"/>
        <s v="ORD-1455"/>
        <s v="ORD-1456"/>
        <s v="ORD-1458"/>
        <s v="ORD-1459"/>
        <s v="ORD-1461"/>
        <s v="ORD-1463"/>
        <s v="ORD-1464"/>
        <s v="ORD-1465"/>
        <s v="ORD-1467"/>
        <s v="ORD-1468"/>
        <s v="ORD-1469"/>
        <s v="ORD-1470"/>
        <s v="ORD-1471"/>
        <s v="ORD-1472"/>
        <s v="ORD-1475"/>
        <s v="ORD-1476"/>
        <s v="ORD-1477"/>
        <s v="ORD-1478"/>
        <s v="ORD-1479"/>
        <s v="ORD-1480"/>
        <s v="ORD-1482"/>
        <s v="ORD-1483"/>
        <s v="ORD-1484"/>
        <s v="ORD-1485"/>
        <s v="ORD-1486"/>
        <s v="ORD-1487"/>
        <s v="ORD-1488"/>
        <s v="ORD-1489"/>
        <s v="ORD-1490"/>
        <s v="ORD-1491"/>
        <s v="ORD-1493"/>
        <s v="ORD-1494"/>
        <s v="ORD-1496"/>
        <s v="ORD-1497"/>
        <s v="ORD-1498"/>
        <s v="ORD-1500"/>
        <s v="ORD-1502"/>
        <s v="ORD-1503"/>
        <s v="ORD-1505"/>
        <s v="ORD-1506"/>
        <s v="ORD-1507"/>
        <s v="ORD-1510"/>
        <s v="ORD-1512"/>
        <s v="ORD-1515"/>
        <s v="ORD-1516"/>
        <s v="ORD-1517"/>
        <s v="ORD-1519"/>
        <s v="ORD-1520"/>
        <s v="ORD-1521"/>
        <s v="ORD-1522"/>
        <s v="ORD-1526"/>
        <s v="ORD-1527"/>
        <s v="ORD-1528"/>
        <s v="ORD-1529"/>
        <s v="ORD-1530"/>
        <s v="ORD-1531"/>
        <s v="ORD-1533"/>
        <s v="ORD-1536"/>
        <s v="ORD-1538"/>
        <s v="ORD-1539"/>
        <s v="ORD-1541"/>
        <s v="ORD-1543"/>
        <s v="ORD-1545"/>
        <s v="ORD-1546"/>
        <s v="ORD-1547"/>
        <s v="ORD-1548"/>
        <s v="ORD-1549"/>
        <s v="ORD-1550"/>
        <s v="ORD-1551"/>
        <s v="ORD-1552"/>
        <s v="ORD-1556"/>
        <s v="ORD-1558"/>
        <s v="ORD-1562"/>
        <s v="ORD-1563"/>
        <s v="ORD-1565"/>
        <s v="ORD-1566"/>
        <s v="ORD-1568"/>
        <s v="ORD-1569"/>
        <s v="ORD-1570"/>
        <s v="ORD-1571"/>
        <s v="ORD-1572"/>
        <s v="ORD-1573"/>
        <s v="ORD-1575"/>
        <s v="ORD-1577"/>
        <s v="ORD-1578"/>
        <s v="ORD-1580"/>
        <s v="ORD-1581"/>
        <s v="ORD-1582"/>
        <s v="ORD-1583"/>
        <s v="ORD-1585"/>
        <s v="ORD-1586"/>
        <s v="ORD-1587"/>
        <s v="ORD-1588"/>
        <s v="ORD-1589"/>
        <s v="ORD-1590"/>
        <s v="ORD-1591"/>
        <s v="ORD-1592"/>
        <s v="ORD-1593"/>
        <s v="ORD-1594"/>
        <s v="ORD-1595"/>
        <s v="ORD-1596"/>
        <s v="ORD-1597"/>
        <s v="ORD-1599"/>
        <s v="ORD-1600"/>
        <s v="ORD-1602"/>
        <s v="ORD-1604"/>
        <s v="ORD-1605"/>
        <s v="ORD-1607"/>
        <s v="ORD-1608"/>
        <s v="ORD-1610"/>
        <s v="ORD-1611"/>
        <s v="ORD-1612"/>
        <s v="ORD-1615"/>
        <s v="ORD-1616"/>
        <s v="ORD-1618"/>
        <s v="ORD-1619"/>
      </sharedItems>
    </cacheField>
    <cacheField name="order_date" numFmtId="0">
      <sharedItems containsBlank="1"/>
    </cacheField>
    <cacheField name="order_date_clean" numFmtId="165">
      <sharedItems containsDate="1" containsMixedTypes="1" minDate="2024-01-02T00:00:00" maxDate="2025-10-03T00:00:00"/>
    </cacheField>
    <cacheField name="customer_name" numFmtId="0">
      <sharedItems containsBlank="1"/>
    </cacheField>
    <cacheField name="Customer_name_clean" numFmtId="0">
      <sharedItems/>
    </cacheField>
    <cacheField name="region" numFmtId="0">
      <sharedItems containsBlank="1"/>
    </cacheField>
    <cacheField name="Region_clean" numFmtId="0">
      <sharedItems count="4">
        <s v="Unknown"/>
        <s v="Asia"/>
        <s v="Europe"/>
        <s v="USA"/>
      </sharedItems>
    </cacheField>
    <cacheField name="sales_channel" numFmtId="0">
      <sharedItems containsBlank="1"/>
    </cacheField>
    <cacheField name="Sales_channel_clean" numFmtId="0">
      <sharedItems count="3">
        <s v="Online"/>
        <s v="Unknown"/>
        <s v="Mobile"/>
      </sharedItems>
    </cacheField>
    <cacheField name="product" numFmtId="0">
      <sharedItems containsBlank="1"/>
    </cacheField>
    <cacheField name="Product_clean" numFmtId="0">
      <sharedItems count="4">
        <s v="Tablet"/>
        <s v="Laptop"/>
        <s v="Phone"/>
        <s v="Unknown"/>
      </sharedItems>
    </cacheField>
    <cacheField name="quantity" numFmtId="0">
      <sharedItems containsBlank="1" containsMixedTypes="1" containsNumber="1" containsInteger="1" minValue="1" maxValue="3"/>
    </cacheField>
    <cacheField name="Quantity_clean" numFmtId="0">
      <sharedItems containsMixedTypes="1" containsNumber="1" containsInteger="1" minValue="1" maxValue="3"/>
    </cacheField>
    <cacheField name="revenue" numFmtId="0">
      <sharedItems containsBlank="1" containsMixedTypes="1" containsNumber="1" minValue="62.8" maxValue="2984.31"/>
    </cacheField>
    <cacheField name="Revenue_clean" numFmtId="0">
      <sharedItems containsMixedTypes="1" containsNumber="1" minValue="62.8" maxValue="2999.93" count="461">
        <n v="378.43"/>
        <n v="326.39999999999998"/>
        <n v="2614.44"/>
        <n v="2550.11"/>
        <n v="255.19"/>
        <n v="1098.05"/>
        <n v="1006.63"/>
        <s v=""/>
        <n v="1228.23"/>
        <n v="915.83"/>
        <n v="1153.05"/>
        <n v="2843.5"/>
        <n v="712.86"/>
        <n v="1566.76"/>
        <n v="1250.83"/>
        <n v="2591.9299999999998"/>
        <n v="2590.98"/>
        <n v="535.67999999999995"/>
        <n v="2907.69"/>
        <n v="252.14"/>
        <n v="1989.25"/>
        <n v="1401.94"/>
        <n v="2125.44"/>
        <n v="671.36"/>
        <n v="435.92"/>
        <n v="2795.91"/>
        <n v="2470.58"/>
        <n v="2944.39"/>
        <n v="1322.33"/>
        <n v="1318.17"/>
        <n v="2008.37"/>
        <n v="1272.5999999999999"/>
        <n v="2097.15"/>
        <n v="1773.03"/>
        <n v="1796.08"/>
        <n v="252.42"/>
        <n v="2952.34"/>
        <n v="2485.92"/>
        <n v="134.66"/>
        <n v="2846.78"/>
        <n v="703.71"/>
        <n v="954.54"/>
        <n v="2187.5300000000002"/>
        <n v="184.27"/>
        <n v="1055.08"/>
        <n v="490.13"/>
        <n v="2730.09"/>
        <n v="1998.26"/>
        <n v="899.91"/>
        <n v="489.52"/>
        <n v="725.33"/>
        <n v="2452.02"/>
        <n v="436.49"/>
        <n v="1253.57"/>
        <n v="2941.72"/>
        <n v="1547.83"/>
        <n v="2801.91"/>
        <n v="2387.56"/>
        <n v="2293.09"/>
        <n v="1353.1"/>
        <n v="1175.02"/>
        <n v="2248.2600000000002"/>
        <n v="2376.4"/>
        <n v="1530.29"/>
        <n v="2259.58"/>
        <n v="703.03"/>
        <n v="336.72"/>
        <n v="2943.74"/>
        <n v="1936.5"/>
        <n v="2615.6"/>
        <n v="93.84"/>
        <n v="1372.41"/>
        <n v="861.3"/>
        <n v="1382.09"/>
        <n v="410.58"/>
        <n v="1987.37"/>
        <n v="2790.8"/>
        <n v="468.53"/>
        <n v="2827.15"/>
        <n v="700.53"/>
        <n v="2253.69"/>
        <n v="105.29"/>
        <n v="2618.0500000000002"/>
        <n v="2195.77"/>
        <n v="943.32"/>
        <n v="276.36"/>
        <n v="1834.77"/>
        <n v="1911.12"/>
        <n v="290.43"/>
        <n v="426.99"/>
        <n v="2999.93"/>
        <n v="1161.32"/>
        <n v="1625.33"/>
        <n v="2459.83"/>
        <n v="1530.92"/>
        <n v="1278.8699999999999"/>
        <n v="1925.23"/>
        <n v="180.79"/>
        <n v="915.66"/>
        <n v="1103.07"/>
        <n v="2091.6"/>
        <n v="352.66"/>
        <n v="174.95"/>
        <n v="1377.27"/>
        <n v="2883.53"/>
        <n v="2989.28"/>
        <n v="2441.0100000000002"/>
        <n v="1116.4000000000001"/>
        <n v="2949.89"/>
        <n v="2918.52"/>
        <n v="1578.4"/>
        <n v="2871.24"/>
        <n v="171.52"/>
        <n v="2672.54"/>
        <n v="1706.87"/>
        <n v="1283.5"/>
        <n v="1633.24"/>
        <n v="1707.36"/>
        <n v="164.8"/>
        <n v="2230.9899999999998"/>
        <n v="1771.92"/>
        <n v="1268.23"/>
        <n v="1161.6300000000001"/>
        <n v="1696.36"/>
        <n v="1463.28"/>
        <n v="736.87"/>
        <n v="2229.13"/>
        <n v="930.26"/>
        <n v="2436"/>
        <n v="819.32"/>
        <n v="747.09"/>
        <n v="701.51"/>
        <n v="780.02"/>
        <n v="1066.3599999999999"/>
        <n v="1168.8699999999999"/>
        <n v="657.94"/>
        <n v="741.3"/>
        <n v="940.21"/>
        <n v="1512.08"/>
        <n v="2555.56"/>
        <n v="802.24"/>
        <n v="1834.66"/>
        <n v="480.47"/>
        <n v="1981.09"/>
        <n v="2754.85"/>
        <n v="2136.15"/>
        <n v="489.25"/>
        <n v="716.28"/>
        <n v="2069.06"/>
        <n v="932.87"/>
        <n v="1339.41"/>
        <n v="1199.3800000000001"/>
        <n v="1270.74"/>
        <n v="2455.65"/>
        <n v="2356.8200000000002"/>
        <n v="1411.79"/>
        <n v="158.46"/>
        <n v="2146.8000000000002"/>
        <n v="589.98"/>
        <n v="542.25"/>
        <n v="146.44999999999999"/>
        <n v="2336.58"/>
        <n v="1078.3"/>
        <n v="460.74"/>
        <n v="1739.57"/>
        <n v="2261.92"/>
        <n v="2564.65"/>
        <n v="1219.21"/>
        <n v="313.52999999999997"/>
        <n v="2826.77"/>
        <n v="2698.84"/>
        <n v="296.61"/>
        <n v="2862.61"/>
        <n v="87.36"/>
        <n v="2354.3200000000002"/>
        <n v="1392.83"/>
        <n v="2235.3000000000002"/>
        <n v="708.4"/>
        <n v="1138.31"/>
        <n v="655.32000000000005"/>
        <n v="2004.21"/>
        <n v="270.33"/>
        <n v="662.53"/>
        <n v="319.08"/>
        <n v="1413.03"/>
        <n v="1779.05"/>
        <n v="875.57"/>
        <n v="1286.74"/>
        <n v="847.79"/>
        <n v="345.4"/>
        <n v="2227.41"/>
        <n v="1496.79"/>
        <n v="2164.9699999999998"/>
        <n v="2136.19"/>
        <n v="464.9"/>
        <n v="2094.87"/>
        <n v="1660.77"/>
        <n v="268.89"/>
        <n v="2830.2"/>
        <n v="880.49"/>
        <n v="2991.94"/>
        <n v="1583.08"/>
        <n v="2349.66"/>
        <n v="862.47"/>
        <n v="109.69"/>
        <n v="2486.1799999999998"/>
        <n v="2384.9"/>
        <n v="147.56"/>
        <n v="530.58000000000004"/>
        <n v="1959.75"/>
        <n v="693.72"/>
        <n v="492.29"/>
        <n v="1195.4100000000001"/>
        <n v="2529.88"/>
        <n v="1098.0899999999999"/>
        <n v="2673.81"/>
        <n v="1383.56"/>
        <n v="2214.13"/>
        <n v="929.7"/>
        <n v="723.83"/>
        <n v="2984.31"/>
        <n v="2120.5100000000002"/>
        <n v="2500.4299999999998"/>
        <n v="2125.14"/>
        <n v="197.74"/>
        <n v="2006.9"/>
        <n v="2765.17"/>
        <n v="2625.77"/>
        <n v="1948.03"/>
        <n v="612.21"/>
        <n v="62.8"/>
        <n v="1989.69"/>
        <n v="2424.15"/>
        <n v="1068.6199999999999"/>
        <n v="2256.21"/>
        <n v="2066"/>
        <n v="2889.3"/>
        <n v="1425.68"/>
        <n v="2362.89"/>
        <n v="1080.74"/>
        <n v="2738.44"/>
        <n v="2916.3"/>
        <n v="2459.4299999999998"/>
        <n v="793.13"/>
        <n v="399"/>
        <n v="475.02"/>
        <n v="669.66"/>
        <n v="2409"/>
        <n v="1103.56"/>
        <n v="1773.3"/>
        <n v="2583.21"/>
        <n v="708.75"/>
        <n v="829.85"/>
        <n v="2906.9"/>
        <n v="2919.39"/>
        <n v="538.54"/>
        <n v="2442.96"/>
        <n v="1797.43"/>
        <n v="2197.52"/>
        <n v="1768.81"/>
        <n v="1187.1099999999999"/>
        <n v="1617.72"/>
        <n v="2309.2800000000002"/>
        <n v="1980.91"/>
        <n v="1128.6500000000001"/>
        <n v="2966.1"/>
        <n v="1549.61"/>
        <n v="239.04"/>
        <n v="549.97"/>
        <n v="640.91999999999996"/>
        <n v="1838.77"/>
        <n v="2843.7"/>
        <n v="1630.17"/>
        <n v="1092.94"/>
        <n v="2517.19"/>
        <n v="1145.03"/>
        <n v="2083.17"/>
        <n v="844.75"/>
        <n v="1735.66"/>
        <n v="2426.7199999999998"/>
        <n v="2582.58"/>
        <n v="1037.24"/>
        <n v="889.6"/>
        <n v="2432.77"/>
        <n v="2196.9299999999998"/>
        <n v="2324.25"/>
        <n v="1898.12"/>
        <n v="1362.29"/>
        <n v="314.18"/>
        <n v="1894.7"/>
        <n v="2159.83"/>
        <n v="2105.96"/>
        <n v="2692.31"/>
        <n v="1409.46"/>
        <n v="2815.39"/>
        <n v="94.45"/>
        <n v="2323.85"/>
        <n v="1632.24"/>
        <n v="1164.42"/>
        <n v="600.54999999999995"/>
        <n v="922.23"/>
        <n v="1879.58"/>
        <n v="1258.92"/>
        <n v="1430.77"/>
        <n v="279.91000000000003"/>
        <n v="1894.71"/>
        <n v="542.09"/>
        <n v="2574.38"/>
        <n v="787.08"/>
        <n v="2123.4"/>
        <n v="2794.23"/>
        <n v="1532.08"/>
        <n v="1213.25"/>
        <n v="1331.75"/>
        <n v="1983.46"/>
        <n v="2285.31"/>
        <n v="1377.68"/>
        <n v="2111.33"/>
        <n v="2838.27"/>
        <n v="1479.75"/>
        <n v="1210.53"/>
        <n v="2676.69"/>
        <n v="759.06"/>
        <n v="961.55"/>
        <n v="136.97999999999999"/>
        <n v="127.28"/>
        <n v="1255.3399999999999"/>
        <n v="1346.68"/>
        <n v="2181.81"/>
        <n v="316.02999999999997"/>
        <n v="2383.65"/>
        <n v="1820.3"/>
        <n v="1755.37"/>
        <n v="2260.54"/>
        <n v="446.91"/>
        <n v="2186.02"/>
        <n v="2381.08"/>
        <n v="622.35"/>
        <n v="2072.21"/>
        <n v="1805.82"/>
        <n v="1599.05"/>
        <n v="1193.3900000000001"/>
        <n v="2310.23"/>
        <n v="397.07"/>
        <n v="989.53"/>
        <n v="135.53"/>
        <n v="1099.0899999999999"/>
        <n v="733.5"/>
        <n v="1452.24"/>
        <n v="2157.11"/>
        <n v="2004.71"/>
        <n v="2869.86"/>
        <n v="482.84"/>
        <n v="2393.3200000000002"/>
        <n v="2708.17"/>
        <n v="2527.89"/>
        <n v="1303.08"/>
        <n v="1726.04"/>
        <n v="2675.25"/>
        <n v="2365.81"/>
        <n v="424.12"/>
        <n v="2903.67"/>
        <n v="1944.67"/>
        <n v="1850.93"/>
        <n v="2032.08"/>
        <n v="1932.34"/>
        <n v="1427.52"/>
        <n v="1954.18"/>
        <n v="1735.47"/>
        <n v="2531.4899999999998"/>
        <n v="2388.58"/>
        <n v="185.11"/>
        <n v="1516.57"/>
        <n v="2517.46"/>
        <n v="536.77"/>
        <n v="71.31"/>
        <n v="1378.74"/>
        <n v="745.14"/>
        <n v="206.55"/>
        <n v="1332.28"/>
        <n v="392.39"/>
        <n v="2092.02"/>
        <n v="512.52"/>
        <n v="2203.5500000000002"/>
        <n v="2974.26"/>
        <n v="2124.75"/>
        <n v="258.56"/>
        <n v="2648.5"/>
        <n v="1962.11"/>
        <n v="2247.8000000000002"/>
        <n v="1484.37"/>
        <n v="2698.94"/>
        <n v="1278.78"/>
        <n v="735.37"/>
        <n v="439.27"/>
        <n v="1874.96"/>
        <n v="1642.61"/>
        <n v="1661.13"/>
        <n v="212.35"/>
        <n v="1067.51"/>
        <n v="2694.47"/>
        <n v="69.53"/>
        <n v="1497.23"/>
        <n v="1816.73"/>
        <n v="530.4"/>
        <n v="2740.71"/>
        <n v="2270.25"/>
        <n v="88.05"/>
        <n v="2696.32"/>
        <n v="2460.2600000000002"/>
        <n v="669.03"/>
        <n v="1996.38"/>
        <n v="2708.47"/>
        <n v="2353.37"/>
        <n v="556.73"/>
        <n v="2298.71"/>
        <n v="1792.14"/>
        <n v="2189.34"/>
        <n v="2315.6"/>
        <n v="1519.5"/>
        <n v="1424.76"/>
        <n v="2646.37"/>
        <n v="1708.65"/>
        <n v="231.2"/>
        <n v="387.69"/>
        <n v="2103.08"/>
        <n v="1515.36"/>
        <n v="1074.58"/>
        <n v="1570.34"/>
        <n v="2193.5100000000002"/>
        <n v="131.72999999999999"/>
        <n v="2379.5300000000002"/>
        <n v="2009.44"/>
        <n v="2257.6999999999998"/>
        <n v="1623.74"/>
        <n v="959.11"/>
        <n v="2110.52"/>
        <n v="1231.95"/>
        <n v="1461.18"/>
        <n v="2837.03"/>
        <n v="817.47"/>
        <n v="2155.0100000000002"/>
        <n v="582.09"/>
        <n v="80.44"/>
        <n v="223.32"/>
        <n v="2933.7"/>
        <n v="2713.24"/>
        <n v="607.30999999999995"/>
        <n v="582.92999999999995"/>
        <n v="1519.43"/>
        <n v="2844.88"/>
        <n v="802.73"/>
        <n v="2045.5"/>
        <n v="1593.12"/>
        <n v="2174.91"/>
        <n v="295.70999999999998"/>
        <n v="363.68"/>
        <n v="1874.57"/>
        <n v="667.23"/>
        <n v="1448.27"/>
        <n v="616.99"/>
      </sharedItems>
    </cacheField>
    <cacheField name="currency" numFmtId="0">
      <sharedItems containsBlank="1"/>
    </cacheField>
    <cacheField name="currency_clean" numFmtId="0">
      <sharedItems/>
    </cacheField>
    <cacheField name="order_status" numFmtId="0">
      <sharedItems containsBlank="1"/>
    </cacheField>
    <cacheField name="order_stauts_clean" numFmtId="0">
      <sharedItems count="4">
        <s v="Pending"/>
        <s v="Delivered"/>
        <s v="Returned"/>
        <s v="Unknown"/>
      </sharedItems>
    </cacheField>
    <cacheField name="delivery_days" numFmtId="0">
      <sharedItems containsBlank="1" containsMixedTypes="1" containsNumber="1" containsInteger="1" minValue="1" maxValue="5"/>
    </cacheField>
    <cacheField name="delivery_days_clean" numFmtId="0">
      <sharedItems containsMixedTypes="1" containsNumber="1" containsInteger="1" minValue="1" maxValue="5" count="5">
        <n v="5"/>
        <n v="3"/>
        <n v="2"/>
        <s v="Unknown"/>
        <n v="1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n v="1000"/>
    <x v="0"/>
    <s v="23/11/2024"/>
    <d v="2024-11-23T00:00:00"/>
    <s v="customer 0"/>
    <s v="Customer 0"/>
    <m/>
    <x v="0"/>
    <s v="Online"/>
    <x v="0"/>
    <s v="TABLET"/>
    <x v="0"/>
    <m/>
    <s v="Unknown"/>
    <s v="$378.43"/>
    <x v="0"/>
    <s v="EUR"/>
    <s v="EUR"/>
    <s v="pending"/>
    <x v="0"/>
    <n v="5"/>
    <x v="0"/>
    <m/>
  </r>
  <r>
    <m/>
    <x v="1"/>
    <s v="2024-01-16"/>
    <d v="2024-01-16T00:00:00"/>
    <s v="customer 1"/>
    <s v="Customer 1"/>
    <m/>
    <x v="0"/>
    <m/>
    <x v="1"/>
    <s v="TABLET"/>
    <x v="0"/>
    <m/>
    <s v="Unknown"/>
    <s v="326.4 EUR"/>
    <x v="1"/>
    <s v="$"/>
    <s v="USD"/>
    <s v="Delivered"/>
    <x v="1"/>
    <n v="5"/>
    <x v="0"/>
    <s v="VIP"/>
  </r>
  <r>
    <m/>
    <x v="1"/>
    <m/>
    <s v=""/>
    <s v="Cust. 2"/>
    <s v="Customer 2"/>
    <s v="Asia"/>
    <x v="1"/>
    <s v="Online"/>
    <x v="0"/>
    <s v="Lapotp"/>
    <x v="1"/>
    <n v="3"/>
    <n v="3"/>
    <s v="2614.44 EUR"/>
    <x v="2"/>
    <s v="EUR"/>
    <s v="EUR"/>
    <s v="Delivered"/>
    <x v="1"/>
    <n v="5"/>
    <x v="0"/>
    <m/>
  </r>
  <r>
    <n v="1003"/>
    <x v="2"/>
    <m/>
    <s v=""/>
    <s v="Customer 3"/>
    <s v="Customer 3"/>
    <s v="europe"/>
    <x v="2"/>
    <s v="Online"/>
    <x v="0"/>
    <s v="TABLET"/>
    <x v="0"/>
    <n v="3"/>
    <n v="3"/>
    <s v="$2550.11"/>
    <x v="3"/>
    <m/>
    <s v="Unknown"/>
    <s v="RETURNED"/>
    <x v="2"/>
    <s v="five"/>
    <x v="0"/>
    <s v="late delivery"/>
  </r>
  <r>
    <s v="ORD-1004"/>
    <x v="3"/>
    <s v="2024-12-26"/>
    <d v="2024-12-26T00:00:00"/>
    <s v="customer 4"/>
    <s v="Customer 4"/>
    <m/>
    <x v="0"/>
    <s v="Online"/>
    <x v="0"/>
    <s v="phone"/>
    <x v="2"/>
    <n v="3"/>
    <n v="3"/>
    <s v="255.19 EUR"/>
    <x v="4"/>
    <s v="$"/>
    <s v="USD"/>
    <m/>
    <x v="3"/>
    <n v="3"/>
    <x v="1"/>
    <s v="late delivery"/>
  </r>
  <r>
    <m/>
    <x v="1"/>
    <s v="2024-07-08"/>
    <d v="2024-07-08T00:00:00"/>
    <s v="customer 5"/>
    <s v="Customer 5"/>
    <s v="U.S."/>
    <x v="3"/>
    <m/>
    <x v="1"/>
    <s v="Lapotp"/>
    <x v="1"/>
    <n v="2"/>
    <n v="2"/>
    <s v="$1098.05"/>
    <x v="5"/>
    <s v="$"/>
    <s v="USD"/>
    <s v="RETURNED"/>
    <x v="2"/>
    <n v="3"/>
    <x v="1"/>
    <s v="late delivery"/>
  </r>
  <r>
    <n v="1006"/>
    <x v="4"/>
    <s v="2024-12-16"/>
    <d v="2024-12-16T00:00:00"/>
    <s v="Cust. 6"/>
    <s v="Customer 6"/>
    <s v="europe"/>
    <x v="2"/>
    <s v="Mobile"/>
    <x v="2"/>
    <s v="Laptop"/>
    <x v="1"/>
    <n v="2"/>
    <n v="2"/>
    <n v="1006.63"/>
    <x v="6"/>
    <m/>
    <s v="Unknown"/>
    <m/>
    <x v="3"/>
    <n v="3"/>
    <x v="1"/>
    <s v="late delivery"/>
  </r>
  <r>
    <n v="1007"/>
    <x v="5"/>
    <s v="12-01-2024"/>
    <d v="2024-01-12T00:00:00"/>
    <s v="customer 7"/>
    <s v="Customer 7"/>
    <s v="US"/>
    <x v="3"/>
    <m/>
    <x v="1"/>
    <s v="TABLET"/>
    <x v="0"/>
    <m/>
    <s v="Unknown"/>
    <m/>
    <x v="7"/>
    <s v="€"/>
    <s v="EUR"/>
    <m/>
    <x v="3"/>
    <s v="five"/>
    <x v="0"/>
    <m/>
  </r>
  <r>
    <n v="1008"/>
    <x v="6"/>
    <m/>
    <s v=""/>
    <s v="Customer 8"/>
    <s v="Customer 8"/>
    <m/>
    <x v="0"/>
    <s v="Online"/>
    <x v="0"/>
    <m/>
    <x v="3"/>
    <n v="1"/>
    <n v="1"/>
    <s v="1228.23 EUR"/>
    <x v="8"/>
    <s v="USD"/>
    <s v="USD"/>
    <m/>
    <x v="3"/>
    <n v="2"/>
    <x v="2"/>
    <m/>
  </r>
  <r>
    <m/>
    <x v="1"/>
    <m/>
    <s v=""/>
    <s v="Cust. 9"/>
    <s v="Customer 9"/>
    <s v="U.S."/>
    <x v="3"/>
    <s v="Online"/>
    <x v="0"/>
    <s v="TABLET"/>
    <x v="0"/>
    <n v="1"/>
    <n v="1"/>
    <m/>
    <x v="7"/>
    <m/>
    <s v="Unknown"/>
    <s v="RETURNED"/>
    <x v="2"/>
    <m/>
    <x v="3"/>
    <s v="VIP"/>
  </r>
  <r>
    <s v="ORD-1010"/>
    <x v="7"/>
    <s v="2024-02-27"/>
    <d v="2024-02-27T00:00:00"/>
    <s v="Cust. 10"/>
    <s v="Customer 10"/>
    <s v="U.S."/>
    <x v="3"/>
    <s v="Online"/>
    <x v="0"/>
    <s v="TABLET"/>
    <x v="0"/>
    <n v="1"/>
    <n v="1"/>
    <s v="915.83 EUR"/>
    <x v="9"/>
    <s v="€"/>
    <s v="EUR"/>
    <m/>
    <x v="3"/>
    <s v="five"/>
    <x v="0"/>
    <s v="late delivery"/>
  </r>
  <r>
    <m/>
    <x v="1"/>
    <s v="2024-03-19"/>
    <d v="2024-03-19T00:00:00"/>
    <s v="Cust. 11"/>
    <s v="Customer 11"/>
    <s v="europe"/>
    <x v="2"/>
    <s v="Online"/>
    <x v="0"/>
    <s v="Laptop"/>
    <x v="1"/>
    <n v="3"/>
    <n v="3"/>
    <s v="1153.05 EUR"/>
    <x v="10"/>
    <s v="€"/>
    <s v="EUR"/>
    <s v="Delivered"/>
    <x v="1"/>
    <n v="1"/>
    <x v="4"/>
    <s v="late delivery"/>
  </r>
  <r>
    <m/>
    <x v="1"/>
    <m/>
    <s v=""/>
    <s v="Customer 12"/>
    <s v="Customer 12"/>
    <m/>
    <x v="0"/>
    <s v="Web"/>
    <x v="0"/>
    <m/>
    <x v="3"/>
    <n v="2"/>
    <n v="2"/>
    <n v="2843.5"/>
    <x v="11"/>
    <s v="USD"/>
    <s v="USD"/>
    <m/>
    <x v="3"/>
    <n v="5"/>
    <x v="0"/>
    <s v="late delivery"/>
  </r>
  <r>
    <n v="1013"/>
    <x v="8"/>
    <s v="15/05/2024"/>
    <d v="2024-05-15T00:00:00"/>
    <s v="Cust. 13"/>
    <s v="Customer 13"/>
    <s v="europe"/>
    <x v="2"/>
    <m/>
    <x v="1"/>
    <s v="TABLET"/>
    <x v="0"/>
    <n v="3"/>
    <n v="3"/>
    <m/>
    <x v="7"/>
    <s v="$"/>
    <s v="USD"/>
    <s v="pending"/>
    <x v="0"/>
    <n v="5"/>
    <x v="0"/>
    <m/>
  </r>
  <r>
    <n v="1014"/>
    <x v="9"/>
    <s v="06/05/2024"/>
    <d v="2024-05-06T00:00:00"/>
    <s v="customer 14"/>
    <s v="Customer 14"/>
    <s v="EU"/>
    <x v="2"/>
    <s v="Online"/>
    <x v="0"/>
    <s v="TABLET"/>
    <x v="0"/>
    <n v="1"/>
    <n v="1"/>
    <s v="$712.86"/>
    <x v="12"/>
    <s v="USD"/>
    <s v="USD"/>
    <s v="Delivered"/>
    <x v="1"/>
    <n v="1"/>
    <x v="4"/>
    <s v="VIP"/>
  </r>
  <r>
    <m/>
    <x v="1"/>
    <m/>
    <s v=""/>
    <s v="customer 15"/>
    <s v="Customer 15"/>
    <s v="U.S."/>
    <x v="3"/>
    <s v="Online"/>
    <x v="0"/>
    <s v="TABLET"/>
    <x v="0"/>
    <m/>
    <s v="Unknown"/>
    <s v="$1566.76"/>
    <x v="13"/>
    <m/>
    <s v="Unknown"/>
    <s v="RETURNED"/>
    <x v="2"/>
    <n v="2"/>
    <x v="2"/>
    <m/>
  </r>
  <r>
    <n v="1016"/>
    <x v="10"/>
    <m/>
    <s v=""/>
    <s v="Cust. 16"/>
    <s v="Customer 16"/>
    <s v="europe"/>
    <x v="2"/>
    <s v="Mobile"/>
    <x v="2"/>
    <s v="phone"/>
    <x v="2"/>
    <n v="1"/>
    <n v="1"/>
    <n v="1250.83"/>
    <x v="14"/>
    <s v="EUR"/>
    <s v="EUR"/>
    <s v="Delivered"/>
    <x v="1"/>
    <n v="5"/>
    <x v="0"/>
    <s v="VIP"/>
  </r>
  <r>
    <n v="1017"/>
    <x v="11"/>
    <s v="13/02/2025"/>
    <d v="2025-02-13T00:00:00"/>
    <m/>
    <s v="Unknown Customer"/>
    <s v="US"/>
    <x v="3"/>
    <s v="Mobile"/>
    <x v="2"/>
    <s v="Lapotp"/>
    <x v="1"/>
    <n v="3"/>
    <n v="3"/>
    <s v="2591.93 EUR"/>
    <x v="15"/>
    <s v="$"/>
    <s v="USD"/>
    <s v="Delivered"/>
    <x v="1"/>
    <n v="1"/>
    <x v="4"/>
    <m/>
  </r>
  <r>
    <n v="1018"/>
    <x v="12"/>
    <s v="2025-02-17"/>
    <d v="2025-02-17T00:00:00"/>
    <s v="Customer 18"/>
    <s v="Customer 18"/>
    <m/>
    <x v="0"/>
    <s v="Online"/>
    <x v="0"/>
    <s v="Lapotp"/>
    <x v="1"/>
    <s v="two"/>
    <n v="2"/>
    <n v="2590.98"/>
    <x v="16"/>
    <s v="$"/>
    <s v="USD"/>
    <s v="RETURNED"/>
    <x v="2"/>
    <n v="2"/>
    <x v="2"/>
    <m/>
  </r>
  <r>
    <s v="ORD-1019"/>
    <x v="13"/>
    <s v="01-31-2024"/>
    <s v=""/>
    <m/>
    <s v="Unknown Customer"/>
    <s v="Asia"/>
    <x v="1"/>
    <s v="Mobile"/>
    <x v="2"/>
    <s v="TABLET"/>
    <x v="0"/>
    <m/>
    <s v="Unknown"/>
    <n v="535.67999999999995"/>
    <x v="17"/>
    <s v="$"/>
    <s v="USD"/>
    <s v="Delivered"/>
    <x v="1"/>
    <n v="2"/>
    <x v="2"/>
    <s v="VIP"/>
  </r>
  <r>
    <m/>
    <x v="1"/>
    <s v="04-21-2024"/>
    <s v=""/>
    <s v="Customer 20"/>
    <s v="Customer 20"/>
    <s v="EU"/>
    <x v="2"/>
    <s v="Web"/>
    <x v="0"/>
    <s v="phone"/>
    <x v="2"/>
    <m/>
    <s v="Unknown"/>
    <n v="2907.69"/>
    <x v="18"/>
    <m/>
    <s v="Unknown"/>
    <s v="Delivered"/>
    <x v="1"/>
    <n v="1"/>
    <x v="4"/>
    <m/>
  </r>
  <r>
    <m/>
    <x v="1"/>
    <s v="05/04/2024"/>
    <d v="2024-04-05T00:00:00"/>
    <m/>
    <s v="Unknown Customer"/>
    <s v="EU"/>
    <x v="2"/>
    <s v="Web"/>
    <x v="0"/>
    <s v="Lapotp"/>
    <x v="1"/>
    <m/>
    <s v="Unknown"/>
    <n v="252.14"/>
    <x v="19"/>
    <m/>
    <s v="Unknown"/>
    <s v="Delivered"/>
    <x v="1"/>
    <s v="five"/>
    <x v="0"/>
    <m/>
  </r>
  <r>
    <s v="ORD-1022"/>
    <x v="14"/>
    <s v="02/08/2024"/>
    <d v="2024-08-02T00:00:00"/>
    <s v="Cust. 22"/>
    <s v="Customer 22"/>
    <s v="US"/>
    <x v="3"/>
    <s v="Mobile"/>
    <x v="2"/>
    <s v="phone"/>
    <x v="2"/>
    <n v="2"/>
    <n v="2"/>
    <s v="$1989.25"/>
    <x v="20"/>
    <s v="€"/>
    <s v="EUR"/>
    <s v="RETURNED"/>
    <x v="2"/>
    <n v="3"/>
    <x v="1"/>
    <m/>
  </r>
  <r>
    <n v="1023"/>
    <x v="15"/>
    <s v="05/01/2024"/>
    <d v="2024-01-05T00:00:00"/>
    <s v="Cust. 23"/>
    <s v="Customer 23"/>
    <s v="US"/>
    <x v="3"/>
    <s v="Mobile"/>
    <x v="2"/>
    <s v="Laptop"/>
    <x v="1"/>
    <n v="2"/>
    <n v="2"/>
    <n v="1401.94"/>
    <x v="21"/>
    <s v="€"/>
    <s v="EUR"/>
    <s v="RETURNED"/>
    <x v="2"/>
    <n v="2"/>
    <x v="2"/>
    <m/>
  </r>
  <r>
    <m/>
    <x v="1"/>
    <s v="10-05-2024"/>
    <d v="2024-05-10T00:00:00"/>
    <s v="Customer 24"/>
    <s v="Customer 24"/>
    <s v="US"/>
    <x v="3"/>
    <s v="Mobile"/>
    <x v="2"/>
    <s v="Laptop"/>
    <x v="1"/>
    <n v="1"/>
    <n v="1"/>
    <n v="2125.44"/>
    <x v="22"/>
    <m/>
    <s v="Unknown"/>
    <s v="Delivered"/>
    <x v="1"/>
    <n v="3"/>
    <x v="1"/>
    <s v="VIP"/>
  </r>
  <r>
    <n v="1025"/>
    <x v="16"/>
    <s v="11-05-2024"/>
    <d v="2024-05-11T00:00:00"/>
    <m/>
    <s v="Unknown Customer"/>
    <s v="Asia"/>
    <x v="1"/>
    <s v="Online"/>
    <x v="0"/>
    <s v="Laptop"/>
    <x v="1"/>
    <s v="two"/>
    <n v="2"/>
    <s v="$671.36"/>
    <x v="23"/>
    <s v="€"/>
    <s v="EUR"/>
    <s v="Delivered"/>
    <x v="1"/>
    <n v="1"/>
    <x v="4"/>
    <s v="VIP"/>
  </r>
  <r>
    <n v="1026"/>
    <x v="17"/>
    <m/>
    <s v=""/>
    <m/>
    <s v="Unknown Customer"/>
    <s v="U.S."/>
    <x v="3"/>
    <s v="Online"/>
    <x v="0"/>
    <s v="Laptop"/>
    <x v="1"/>
    <n v="1"/>
    <n v="1"/>
    <s v="$435.92"/>
    <x v="24"/>
    <s v="USD"/>
    <s v="USD"/>
    <s v="pending"/>
    <x v="0"/>
    <n v="1"/>
    <x v="4"/>
    <s v="VIP"/>
  </r>
  <r>
    <n v="1027"/>
    <x v="18"/>
    <s v="2024-10-25"/>
    <d v="2024-10-25T00:00:00"/>
    <s v="Cust. 27"/>
    <s v="Customer 27"/>
    <s v="Asia"/>
    <x v="1"/>
    <s v="Online"/>
    <x v="0"/>
    <s v="phone"/>
    <x v="2"/>
    <n v="2"/>
    <n v="2"/>
    <m/>
    <x v="7"/>
    <s v="USD"/>
    <s v="USD"/>
    <m/>
    <x v="3"/>
    <n v="1"/>
    <x v="4"/>
    <s v="VIP"/>
  </r>
  <r>
    <m/>
    <x v="1"/>
    <s v="03/02/2025"/>
    <d v="2025-02-03T00:00:00"/>
    <s v="customer 28"/>
    <s v="Customer 28"/>
    <m/>
    <x v="0"/>
    <s v="Online"/>
    <x v="0"/>
    <m/>
    <x v="3"/>
    <n v="2"/>
    <n v="2"/>
    <m/>
    <x v="7"/>
    <s v="$"/>
    <s v="USD"/>
    <s v="Delivered"/>
    <x v="1"/>
    <n v="2"/>
    <x v="2"/>
    <s v="VIP"/>
  </r>
  <r>
    <s v="ORD-1029"/>
    <x v="19"/>
    <s v="04/02/2025"/>
    <d v="2025-02-04T00:00:00"/>
    <s v="Customer 29"/>
    <s v="Customer 29"/>
    <s v="europe"/>
    <x v="2"/>
    <s v="Online"/>
    <x v="0"/>
    <m/>
    <x v="3"/>
    <s v="two"/>
    <n v="2"/>
    <s v="2795.91 EUR"/>
    <x v="25"/>
    <s v="USD"/>
    <s v="USD"/>
    <s v="Delivered"/>
    <x v="1"/>
    <n v="5"/>
    <x v="0"/>
    <s v="VIP"/>
  </r>
  <r>
    <n v="1030"/>
    <x v="20"/>
    <s v="2024-06-05"/>
    <d v="2024-06-05T00:00:00"/>
    <s v="customer 30"/>
    <s v="Customer 30"/>
    <s v="europe"/>
    <x v="2"/>
    <s v="Mobile"/>
    <x v="2"/>
    <s v="phone"/>
    <x v="2"/>
    <n v="1"/>
    <n v="1"/>
    <s v="2470.58 EUR"/>
    <x v="26"/>
    <s v="€"/>
    <s v="EUR"/>
    <s v="RETURNED"/>
    <x v="2"/>
    <m/>
    <x v="3"/>
    <m/>
  </r>
  <r>
    <n v="1031"/>
    <x v="21"/>
    <s v="2024-12-13"/>
    <d v="2024-12-13T00:00:00"/>
    <s v="Cust. 31"/>
    <s v="Customer 31"/>
    <s v="US"/>
    <x v="3"/>
    <s v="Web"/>
    <x v="0"/>
    <s v="phone"/>
    <x v="2"/>
    <n v="1"/>
    <n v="1"/>
    <s v="$2944.39"/>
    <x v="27"/>
    <s v="EUR"/>
    <s v="EUR"/>
    <s v="pending"/>
    <x v="0"/>
    <n v="5"/>
    <x v="0"/>
    <s v="VIP"/>
  </r>
  <r>
    <m/>
    <x v="1"/>
    <s v="2025-01-08"/>
    <d v="2025-01-08T00:00:00"/>
    <m/>
    <s v="Unknown Customer"/>
    <s v="U.S."/>
    <x v="3"/>
    <s v="Online"/>
    <x v="0"/>
    <s v="phone"/>
    <x v="2"/>
    <n v="1"/>
    <n v="1"/>
    <m/>
    <x v="7"/>
    <s v="$"/>
    <s v="USD"/>
    <s v="Delivered"/>
    <x v="1"/>
    <s v="five"/>
    <x v="0"/>
    <s v="late delivery"/>
  </r>
  <r>
    <m/>
    <x v="1"/>
    <s v="07-05-2024"/>
    <d v="2024-05-07T00:00:00"/>
    <s v="Customer 33"/>
    <s v="Customer 33"/>
    <m/>
    <x v="0"/>
    <s v="Mobile"/>
    <x v="2"/>
    <s v="TABLET"/>
    <x v="0"/>
    <n v="3"/>
    <n v="3"/>
    <s v="$1322.33"/>
    <x v="28"/>
    <s v="$"/>
    <s v="USD"/>
    <s v="RETURNED"/>
    <x v="2"/>
    <n v="5"/>
    <x v="0"/>
    <s v="VIP"/>
  </r>
  <r>
    <m/>
    <x v="1"/>
    <m/>
    <s v=""/>
    <s v="customer 34"/>
    <s v="Customer 34"/>
    <s v="U.S."/>
    <x v="3"/>
    <s v="Web"/>
    <x v="0"/>
    <s v="phone"/>
    <x v="2"/>
    <s v="two"/>
    <n v="2"/>
    <m/>
    <x v="7"/>
    <m/>
    <s v="Unknown"/>
    <s v="Delivered"/>
    <x v="1"/>
    <n v="3"/>
    <x v="1"/>
    <s v="VIP"/>
  </r>
  <r>
    <s v="ORD-1035"/>
    <x v="22"/>
    <m/>
    <s v=""/>
    <m/>
    <s v="Unknown Customer"/>
    <m/>
    <x v="0"/>
    <s v="Online"/>
    <x v="0"/>
    <s v="TABLET"/>
    <x v="0"/>
    <s v="two"/>
    <n v="2"/>
    <s v="$1318.17"/>
    <x v="29"/>
    <s v="USD"/>
    <s v="USD"/>
    <m/>
    <x v="3"/>
    <n v="1"/>
    <x v="4"/>
    <s v="VIP"/>
  </r>
  <r>
    <n v="1036"/>
    <x v="23"/>
    <s v="20/09/2024"/>
    <d v="2024-09-20T00:00:00"/>
    <s v="Cust. 36"/>
    <s v="Customer 36"/>
    <s v="US"/>
    <x v="3"/>
    <s v="Online"/>
    <x v="0"/>
    <s v="Lapotp"/>
    <x v="1"/>
    <n v="1"/>
    <n v="1"/>
    <s v="$2008.37"/>
    <x v="30"/>
    <s v="EUR"/>
    <s v="EUR"/>
    <s v="Delivered"/>
    <x v="1"/>
    <n v="5"/>
    <x v="0"/>
    <m/>
  </r>
  <r>
    <m/>
    <x v="1"/>
    <m/>
    <s v=""/>
    <m/>
    <s v="Unknown Customer"/>
    <s v="europe"/>
    <x v="2"/>
    <s v="Online"/>
    <x v="0"/>
    <s v="Lapotp"/>
    <x v="1"/>
    <n v="1"/>
    <n v="1"/>
    <s v="1272.6 EUR"/>
    <x v="31"/>
    <s v="EUR"/>
    <s v="EUR"/>
    <s v="RETURNED"/>
    <x v="2"/>
    <n v="2"/>
    <x v="2"/>
    <s v="late delivery"/>
  </r>
  <r>
    <n v="1038"/>
    <x v="24"/>
    <s v="15/02/2025"/>
    <d v="2025-02-15T00:00:00"/>
    <s v="Customer 38"/>
    <s v="Customer 38"/>
    <s v="europe"/>
    <x v="2"/>
    <s v="Online"/>
    <x v="0"/>
    <m/>
    <x v="3"/>
    <s v="two"/>
    <n v="2"/>
    <m/>
    <x v="7"/>
    <m/>
    <s v="Unknown"/>
    <s v="pending"/>
    <x v="0"/>
    <s v="five"/>
    <x v="0"/>
    <s v="VIP"/>
  </r>
  <r>
    <m/>
    <x v="1"/>
    <m/>
    <s v=""/>
    <s v="customer 39"/>
    <s v="Customer 39"/>
    <m/>
    <x v="0"/>
    <s v="Mobile"/>
    <x v="2"/>
    <s v="phone"/>
    <x v="2"/>
    <n v="3"/>
    <n v="3"/>
    <m/>
    <x v="7"/>
    <s v="USD"/>
    <s v="USD"/>
    <m/>
    <x v="3"/>
    <n v="3"/>
    <x v="1"/>
    <m/>
  </r>
  <r>
    <n v="1040"/>
    <x v="25"/>
    <s v="11-16-2024"/>
    <s v=""/>
    <s v="customer 40"/>
    <s v="Customer 40"/>
    <s v="Asia"/>
    <x v="1"/>
    <s v="Mobile"/>
    <x v="2"/>
    <s v="phone"/>
    <x v="2"/>
    <m/>
    <s v="Unknown"/>
    <m/>
    <x v="7"/>
    <s v="EUR"/>
    <s v="EUR"/>
    <s v="Delivered"/>
    <x v="1"/>
    <n v="2"/>
    <x v="2"/>
    <s v="late delivery"/>
  </r>
  <r>
    <n v="1041"/>
    <x v="26"/>
    <m/>
    <s v=""/>
    <m/>
    <s v="Unknown Customer"/>
    <s v="Asia"/>
    <x v="1"/>
    <s v="Web"/>
    <x v="0"/>
    <s v="phone"/>
    <x v="2"/>
    <s v="two"/>
    <n v="2"/>
    <s v="2097.15 EUR"/>
    <x v="32"/>
    <s v="EUR"/>
    <s v="EUR"/>
    <s v="Delivered"/>
    <x v="1"/>
    <n v="5"/>
    <x v="0"/>
    <m/>
  </r>
  <r>
    <m/>
    <x v="1"/>
    <m/>
    <s v=""/>
    <m/>
    <s v="Unknown Customer"/>
    <s v="EU"/>
    <x v="2"/>
    <s v="Mobile"/>
    <x v="2"/>
    <s v="phone"/>
    <x v="2"/>
    <s v="two"/>
    <n v="2"/>
    <n v="1773.03"/>
    <x v="33"/>
    <s v="$"/>
    <s v="USD"/>
    <s v="pending"/>
    <x v="0"/>
    <m/>
    <x v="3"/>
    <s v="late delivery"/>
  </r>
  <r>
    <s v="ORD-1043"/>
    <x v="27"/>
    <s v="2024-09-06"/>
    <d v="2024-09-06T00:00:00"/>
    <m/>
    <s v="Unknown Customer"/>
    <s v="Asia"/>
    <x v="1"/>
    <m/>
    <x v="1"/>
    <s v="TABLET"/>
    <x v="0"/>
    <s v="two"/>
    <n v="2"/>
    <m/>
    <x v="7"/>
    <s v="USD"/>
    <s v="USD"/>
    <s v="RETURNED"/>
    <x v="2"/>
    <n v="2"/>
    <x v="2"/>
    <m/>
  </r>
  <r>
    <n v="1044"/>
    <x v="28"/>
    <m/>
    <s v=""/>
    <s v="customer 44"/>
    <s v="Customer 44"/>
    <m/>
    <x v="0"/>
    <s v="Mobile"/>
    <x v="2"/>
    <s v="Lapotp"/>
    <x v="1"/>
    <n v="1"/>
    <n v="1"/>
    <n v="1796.08"/>
    <x v="34"/>
    <s v="€"/>
    <s v="EUR"/>
    <s v="RETURNED"/>
    <x v="2"/>
    <n v="3"/>
    <x v="1"/>
    <s v="late delivery"/>
  </r>
  <r>
    <s v="ORD-1045"/>
    <x v="29"/>
    <m/>
    <s v=""/>
    <s v="Cust. 45"/>
    <s v="Customer 45"/>
    <m/>
    <x v="0"/>
    <s v="Online"/>
    <x v="0"/>
    <s v="phone"/>
    <x v="2"/>
    <n v="1"/>
    <n v="1"/>
    <m/>
    <x v="7"/>
    <m/>
    <s v="Unknown"/>
    <s v="Delivered"/>
    <x v="1"/>
    <n v="3"/>
    <x v="1"/>
    <s v="late delivery"/>
  </r>
  <r>
    <n v="1046"/>
    <x v="30"/>
    <s v="28/11/2024"/>
    <d v="2024-11-28T00:00:00"/>
    <s v="customer 46"/>
    <s v="Customer 46"/>
    <m/>
    <x v="0"/>
    <s v="Online"/>
    <x v="0"/>
    <s v="TABLET"/>
    <x v="0"/>
    <n v="2"/>
    <n v="2"/>
    <n v="252.42"/>
    <x v="35"/>
    <s v="USD"/>
    <s v="USD"/>
    <s v="Delivered"/>
    <x v="1"/>
    <n v="5"/>
    <x v="0"/>
    <m/>
  </r>
  <r>
    <m/>
    <x v="1"/>
    <s v="10-15-2024"/>
    <s v=""/>
    <s v="Cust. 47"/>
    <s v="Customer 47"/>
    <s v="US"/>
    <x v="3"/>
    <s v="Web"/>
    <x v="0"/>
    <s v="TABLET"/>
    <x v="0"/>
    <n v="1"/>
    <n v="1"/>
    <m/>
    <x v="7"/>
    <s v="USD"/>
    <s v="USD"/>
    <s v="RETURNED"/>
    <x v="2"/>
    <n v="1"/>
    <x v="4"/>
    <m/>
  </r>
  <r>
    <s v="ORD-1048"/>
    <x v="31"/>
    <s v="08/06/2024"/>
    <d v="2024-06-08T00:00:00"/>
    <s v="Customer 48"/>
    <s v="Customer 48"/>
    <s v="U.S."/>
    <x v="3"/>
    <m/>
    <x v="1"/>
    <m/>
    <x v="3"/>
    <n v="2"/>
    <n v="2"/>
    <m/>
    <x v="7"/>
    <s v="EUR"/>
    <s v="EUR"/>
    <m/>
    <x v="3"/>
    <n v="3"/>
    <x v="1"/>
    <m/>
  </r>
  <r>
    <s v="ORD-1049"/>
    <x v="32"/>
    <m/>
    <s v=""/>
    <s v="Cust. 49"/>
    <s v="Customer 49"/>
    <s v="EU"/>
    <x v="2"/>
    <s v="Web"/>
    <x v="0"/>
    <s v="TABLET"/>
    <x v="0"/>
    <n v="3"/>
    <n v="3"/>
    <n v="2952.34"/>
    <x v="36"/>
    <s v="EUR"/>
    <s v="EUR"/>
    <s v="RETURNED"/>
    <x v="2"/>
    <n v="5"/>
    <x v="0"/>
    <m/>
  </r>
  <r>
    <m/>
    <x v="1"/>
    <s v="09/08/2024"/>
    <d v="2024-08-09T00:00:00"/>
    <m/>
    <s v="Unknown Customer"/>
    <s v="US"/>
    <x v="3"/>
    <m/>
    <x v="1"/>
    <s v="TABLET"/>
    <x v="0"/>
    <n v="3"/>
    <n v="3"/>
    <m/>
    <x v="7"/>
    <m/>
    <s v="Unknown"/>
    <s v="pending"/>
    <x v="0"/>
    <n v="5"/>
    <x v="0"/>
    <m/>
  </r>
  <r>
    <s v="ORD-1051"/>
    <x v="33"/>
    <s v="11/08/2024"/>
    <d v="2024-08-11T00:00:00"/>
    <s v="Customer 51"/>
    <s v="Customer 51"/>
    <s v="Asia"/>
    <x v="1"/>
    <s v="Mobile"/>
    <x v="2"/>
    <s v="Lapotp"/>
    <x v="1"/>
    <s v="two"/>
    <n v="2"/>
    <s v="$2485.92"/>
    <x v="37"/>
    <m/>
    <s v="Unknown"/>
    <s v="pending"/>
    <x v="0"/>
    <m/>
    <x v="3"/>
    <m/>
  </r>
  <r>
    <n v="1052"/>
    <x v="34"/>
    <m/>
    <s v=""/>
    <s v="customer 52"/>
    <s v="Customer 52"/>
    <s v="Asia"/>
    <x v="1"/>
    <s v="Mobile"/>
    <x v="2"/>
    <s v="phone"/>
    <x v="2"/>
    <n v="3"/>
    <n v="3"/>
    <s v="$134.66"/>
    <x v="38"/>
    <m/>
    <s v="Unknown"/>
    <m/>
    <x v="3"/>
    <n v="3"/>
    <x v="1"/>
    <m/>
  </r>
  <r>
    <n v="1053"/>
    <x v="35"/>
    <m/>
    <s v=""/>
    <m/>
    <s v="Unknown Customer"/>
    <s v="U.S."/>
    <x v="3"/>
    <s v="Online"/>
    <x v="0"/>
    <s v="TABLET"/>
    <x v="0"/>
    <s v="two"/>
    <n v="2"/>
    <n v="2846.78"/>
    <x v="39"/>
    <s v="$"/>
    <s v="USD"/>
    <s v="RETURNED"/>
    <x v="2"/>
    <n v="1"/>
    <x v="4"/>
    <m/>
  </r>
  <r>
    <s v="ORD-1054"/>
    <x v="36"/>
    <s v="05-30-2024"/>
    <s v=""/>
    <m/>
    <s v="Unknown Customer"/>
    <s v="U.S."/>
    <x v="3"/>
    <s v="Web"/>
    <x v="0"/>
    <s v="phone"/>
    <x v="2"/>
    <s v="two"/>
    <n v="2"/>
    <s v="703.71 EUR"/>
    <x v="40"/>
    <m/>
    <s v="Unknown"/>
    <s v="RETURNED"/>
    <x v="2"/>
    <n v="3"/>
    <x v="1"/>
    <m/>
  </r>
  <r>
    <n v="1055"/>
    <x v="37"/>
    <s v="18/05/2024"/>
    <d v="2024-05-18T00:00:00"/>
    <s v="Cust. 55"/>
    <s v="Customer 55"/>
    <s v="EU"/>
    <x v="2"/>
    <m/>
    <x v="1"/>
    <s v="TABLET"/>
    <x v="0"/>
    <n v="2"/>
    <n v="2"/>
    <s v="954.54 EUR"/>
    <x v="41"/>
    <s v="USD"/>
    <s v="USD"/>
    <s v="Delivered"/>
    <x v="1"/>
    <m/>
    <x v="3"/>
    <m/>
  </r>
  <r>
    <n v="1056"/>
    <x v="38"/>
    <s v="21/05/2024"/>
    <d v="2024-05-21T00:00:00"/>
    <s v="Cust. 56"/>
    <s v="Customer 56"/>
    <s v="US"/>
    <x v="3"/>
    <s v="Mobile"/>
    <x v="2"/>
    <s v="Lapotp"/>
    <x v="1"/>
    <n v="3"/>
    <n v="3"/>
    <s v="$2187.53"/>
    <x v="42"/>
    <s v="EUR"/>
    <s v="EUR"/>
    <m/>
    <x v="3"/>
    <s v="five"/>
    <x v="0"/>
    <s v="late delivery"/>
  </r>
  <r>
    <m/>
    <x v="1"/>
    <s v="05-20-2024"/>
    <s v=""/>
    <s v="customer 57"/>
    <s v="Customer 57"/>
    <m/>
    <x v="0"/>
    <s v="Mobile"/>
    <x v="2"/>
    <s v="Laptop"/>
    <x v="1"/>
    <n v="1"/>
    <n v="1"/>
    <n v="184.27"/>
    <x v="43"/>
    <m/>
    <s v="Unknown"/>
    <s v="RETURNED"/>
    <x v="2"/>
    <n v="5"/>
    <x v="0"/>
    <m/>
  </r>
  <r>
    <s v="ORD-1058"/>
    <x v="39"/>
    <m/>
    <s v=""/>
    <s v="Customer 58"/>
    <s v="Customer 58"/>
    <m/>
    <x v="0"/>
    <s v="Online"/>
    <x v="0"/>
    <s v="phone"/>
    <x v="2"/>
    <s v="two"/>
    <n v="2"/>
    <n v="1055.08"/>
    <x v="44"/>
    <s v="EUR"/>
    <s v="EUR"/>
    <s v="pending"/>
    <x v="0"/>
    <m/>
    <x v="3"/>
    <m/>
  </r>
  <r>
    <n v="1059"/>
    <x v="40"/>
    <s v="18/03/2024"/>
    <d v="2024-03-18T00:00:00"/>
    <s v="Customer 59"/>
    <s v="Customer 59"/>
    <s v="U.S."/>
    <x v="3"/>
    <s v="Mobile"/>
    <x v="2"/>
    <s v="TABLET"/>
    <x v="0"/>
    <m/>
    <s v="Unknown"/>
    <s v="$490.13"/>
    <x v="45"/>
    <m/>
    <s v="Unknown"/>
    <s v="Delivered"/>
    <x v="1"/>
    <s v="five"/>
    <x v="0"/>
    <m/>
  </r>
  <r>
    <m/>
    <x v="1"/>
    <m/>
    <s v=""/>
    <s v="Cust. 60"/>
    <s v="Customer 60"/>
    <s v="U.S."/>
    <x v="3"/>
    <s v="Web"/>
    <x v="0"/>
    <s v="Laptop"/>
    <x v="1"/>
    <m/>
    <s v="Unknown"/>
    <s v="$2730.09"/>
    <x v="46"/>
    <s v="EUR"/>
    <s v="EUR"/>
    <s v="Delivered"/>
    <x v="1"/>
    <m/>
    <x v="3"/>
    <s v="late delivery"/>
  </r>
  <r>
    <n v="1061"/>
    <x v="41"/>
    <s v="15/05/2024"/>
    <d v="2024-05-15T00:00:00"/>
    <s v="Customer 61"/>
    <s v="Customer 61"/>
    <s v="US"/>
    <x v="3"/>
    <s v="Online"/>
    <x v="0"/>
    <s v="phone"/>
    <x v="2"/>
    <s v="two"/>
    <n v="2"/>
    <s v="1998.26 EUR"/>
    <x v="47"/>
    <m/>
    <s v="Unknown"/>
    <s v="RETURNED"/>
    <x v="2"/>
    <n v="3"/>
    <x v="1"/>
    <m/>
  </r>
  <r>
    <m/>
    <x v="1"/>
    <m/>
    <s v=""/>
    <s v="Customer 62"/>
    <s v="Customer 62"/>
    <m/>
    <x v="0"/>
    <s v="Online"/>
    <x v="0"/>
    <s v="phone"/>
    <x v="2"/>
    <m/>
    <s v="Unknown"/>
    <s v="$899.91"/>
    <x v="48"/>
    <s v="USD"/>
    <s v="USD"/>
    <s v="RETURNED"/>
    <x v="2"/>
    <n v="1"/>
    <x v="4"/>
    <s v="late delivery"/>
  </r>
  <r>
    <n v="1063"/>
    <x v="42"/>
    <s v="2024-11-27"/>
    <d v="2024-11-27T00:00:00"/>
    <s v="Customer 63"/>
    <s v="Customer 63"/>
    <s v="US"/>
    <x v="3"/>
    <s v="Mobile"/>
    <x v="2"/>
    <s v="TABLET"/>
    <x v="0"/>
    <m/>
    <s v="Unknown"/>
    <s v="$489.52"/>
    <x v="49"/>
    <s v="€"/>
    <s v="EUR"/>
    <s v="RETURNED"/>
    <x v="2"/>
    <n v="1"/>
    <x v="4"/>
    <m/>
  </r>
  <r>
    <s v="ORD-1064"/>
    <x v="43"/>
    <m/>
    <s v=""/>
    <m/>
    <s v="Unknown Customer"/>
    <s v="EU"/>
    <x v="2"/>
    <s v="Web"/>
    <x v="0"/>
    <s v="Laptop"/>
    <x v="1"/>
    <s v="two"/>
    <n v="2"/>
    <m/>
    <x v="7"/>
    <s v="€"/>
    <s v="EUR"/>
    <s v="pending"/>
    <x v="0"/>
    <n v="3"/>
    <x v="1"/>
    <m/>
  </r>
  <r>
    <m/>
    <x v="1"/>
    <s v="02-16-2024"/>
    <s v=""/>
    <s v="Customer 65"/>
    <s v="Customer 65"/>
    <m/>
    <x v="0"/>
    <s v="Online"/>
    <x v="0"/>
    <s v="phone"/>
    <x v="2"/>
    <m/>
    <s v="Unknown"/>
    <n v="725.33"/>
    <x v="50"/>
    <s v="$"/>
    <s v="USD"/>
    <s v="RETURNED"/>
    <x v="2"/>
    <n v="2"/>
    <x v="2"/>
    <m/>
  </r>
  <r>
    <s v="ORD-1066"/>
    <x v="44"/>
    <s v="11-21-2024"/>
    <s v=""/>
    <m/>
    <s v="Unknown Customer"/>
    <s v="Asia"/>
    <x v="1"/>
    <s v="Mobile"/>
    <x v="2"/>
    <s v="TABLET"/>
    <x v="0"/>
    <n v="1"/>
    <n v="1"/>
    <n v="2452.02"/>
    <x v="51"/>
    <s v="USD"/>
    <s v="USD"/>
    <s v="RETURNED"/>
    <x v="2"/>
    <n v="5"/>
    <x v="0"/>
    <m/>
  </r>
  <r>
    <m/>
    <x v="1"/>
    <s v="2024-05-27"/>
    <d v="2024-05-27T00:00:00"/>
    <m/>
    <s v="Unknown Customer"/>
    <s v="EU"/>
    <x v="2"/>
    <s v="Mobile"/>
    <x v="2"/>
    <s v="phone"/>
    <x v="2"/>
    <n v="3"/>
    <n v="3"/>
    <m/>
    <x v="7"/>
    <s v="EUR"/>
    <s v="EUR"/>
    <s v="RETURNED"/>
    <x v="2"/>
    <s v="five"/>
    <x v="0"/>
    <m/>
  </r>
  <r>
    <s v="ORD-1068"/>
    <x v="45"/>
    <s v="2024-12-02"/>
    <d v="2024-12-02T00:00:00"/>
    <s v="customer 68"/>
    <s v="Customer 68"/>
    <s v="U.S."/>
    <x v="3"/>
    <s v="Mobile"/>
    <x v="2"/>
    <s v="TABLET"/>
    <x v="0"/>
    <s v="two"/>
    <n v="2"/>
    <m/>
    <x v="7"/>
    <s v="$"/>
    <s v="USD"/>
    <s v="Delivered"/>
    <x v="1"/>
    <n v="2"/>
    <x v="2"/>
    <s v="VIP"/>
  </r>
  <r>
    <s v="ORD-1069"/>
    <x v="46"/>
    <m/>
    <s v=""/>
    <s v="Customer 69"/>
    <s v="Customer 69"/>
    <s v="EU"/>
    <x v="2"/>
    <m/>
    <x v="1"/>
    <s v="TABLET"/>
    <x v="0"/>
    <n v="2"/>
    <n v="2"/>
    <s v="$436.49"/>
    <x v="52"/>
    <s v="USD"/>
    <s v="USD"/>
    <s v="RETURNED"/>
    <x v="2"/>
    <s v="five"/>
    <x v="0"/>
    <m/>
  </r>
  <r>
    <n v="1070"/>
    <x v="47"/>
    <m/>
    <s v=""/>
    <s v="Customer 70"/>
    <s v="Customer 70"/>
    <m/>
    <x v="0"/>
    <s v="Online"/>
    <x v="0"/>
    <s v="phone"/>
    <x v="2"/>
    <n v="3"/>
    <n v="3"/>
    <s v="1253.57 EUR"/>
    <x v="53"/>
    <m/>
    <s v="Unknown"/>
    <m/>
    <x v="3"/>
    <n v="3"/>
    <x v="1"/>
    <m/>
  </r>
  <r>
    <s v="ORD-1071"/>
    <x v="48"/>
    <s v="04/09/2024"/>
    <d v="2024-09-04T00:00:00"/>
    <m/>
    <s v="Unknown Customer"/>
    <s v="US"/>
    <x v="3"/>
    <s v="Web"/>
    <x v="0"/>
    <s v="TABLET"/>
    <x v="0"/>
    <n v="2"/>
    <n v="2"/>
    <s v="2941.72 EUR"/>
    <x v="54"/>
    <s v="EUR"/>
    <s v="EUR"/>
    <s v="RETURNED"/>
    <x v="2"/>
    <n v="5"/>
    <x v="0"/>
    <s v="VIP"/>
  </r>
  <r>
    <s v="ORD-1072"/>
    <x v="49"/>
    <s v="02-07-2025"/>
    <d v="2025-07-02T00:00:00"/>
    <m/>
    <s v="Unknown Customer"/>
    <m/>
    <x v="0"/>
    <s v="Online"/>
    <x v="0"/>
    <s v="phone"/>
    <x v="2"/>
    <m/>
    <s v="Unknown"/>
    <n v="1547.83"/>
    <x v="55"/>
    <s v="$"/>
    <s v="USD"/>
    <s v="RETURNED"/>
    <x v="2"/>
    <n v="3"/>
    <x v="1"/>
    <m/>
  </r>
  <r>
    <m/>
    <x v="1"/>
    <s v="21/08/2024"/>
    <d v="2024-08-21T00:00:00"/>
    <m/>
    <s v="Unknown Customer"/>
    <s v="US"/>
    <x v="3"/>
    <s v="Mobile"/>
    <x v="2"/>
    <s v="Laptop"/>
    <x v="1"/>
    <n v="3"/>
    <n v="3"/>
    <s v="2801.91 EUR"/>
    <x v="56"/>
    <s v="$"/>
    <s v="USD"/>
    <m/>
    <x v="3"/>
    <n v="5"/>
    <x v="0"/>
    <m/>
  </r>
  <r>
    <s v="ORD-1074"/>
    <x v="50"/>
    <s v="2024-12-05"/>
    <d v="2024-12-05T00:00:00"/>
    <s v="customer 74"/>
    <s v="Customer 74"/>
    <s v="U.S."/>
    <x v="3"/>
    <s v="Web"/>
    <x v="0"/>
    <s v="phone"/>
    <x v="2"/>
    <n v="1"/>
    <n v="1"/>
    <s v="2387.56 EUR"/>
    <x v="57"/>
    <s v="$"/>
    <s v="USD"/>
    <s v="Delivered"/>
    <x v="1"/>
    <s v="five"/>
    <x v="0"/>
    <m/>
  </r>
  <r>
    <m/>
    <x v="1"/>
    <s v="08/01/2024"/>
    <d v="2024-01-08T00:00:00"/>
    <s v="Customer 75"/>
    <s v="Customer 75"/>
    <s v="europe"/>
    <x v="2"/>
    <s v="Mobile"/>
    <x v="2"/>
    <s v="phone"/>
    <x v="2"/>
    <m/>
    <s v="Unknown"/>
    <m/>
    <x v="7"/>
    <s v="$"/>
    <s v="USD"/>
    <m/>
    <x v="3"/>
    <n v="1"/>
    <x v="4"/>
    <s v="VIP"/>
  </r>
  <r>
    <s v="ORD-1076"/>
    <x v="51"/>
    <m/>
    <s v=""/>
    <s v="Customer 76"/>
    <s v="Customer 76"/>
    <s v="U.S."/>
    <x v="3"/>
    <s v="Online"/>
    <x v="0"/>
    <s v="Lapotp"/>
    <x v="1"/>
    <n v="3"/>
    <n v="3"/>
    <m/>
    <x v="7"/>
    <s v="USD"/>
    <s v="USD"/>
    <m/>
    <x v="3"/>
    <n v="1"/>
    <x v="4"/>
    <m/>
  </r>
  <r>
    <s v="ORD-1077"/>
    <x v="52"/>
    <s v="20/02/2024"/>
    <d v="2024-02-20T00:00:00"/>
    <s v="Cust. 77"/>
    <s v="Customer 77"/>
    <s v="EU"/>
    <x v="2"/>
    <s v="Online"/>
    <x v="0"/>
    <s v="phone"/>
    <x v="2"/>
    <n v="1"/>
    <n v="1"/>
    <n v="2293.09"/>
    <x v="58"/>
    <s v="€"/>
    <s v="EUR"/>
    <s v="RETURNED"/>
    <x v="2"/>
    <n v="3"/>
    <x v="1"/>
    <m/>
  </r>
  <r>
    <m/>
    <x v="1"/>
    <s v="15/03/2024"/>
    <d v="2024-03-15T00:00:00"/>
    <s v="customer 78"/>
    <s v="Customer 78"/>
    <s v="US"/>
    <x v="3"/>
    <s v="Online"/>
    <x v="0"/>
    <s v="TABLET"/>
    <x v="0"/>
    <s v="two"/>
    <n v="2"/>
    <m/>
    <x v="7"/>
    <m/>
    <s v="Unknown"/>
    <m/>
    <x v="3"/>
    <n v="2"/>
    <x v="2"/>
    <m/>
  </r>
  <r>
    <m/>
    <x v="1"/>
    <s v="10-25-2024"/>
    <s v=""/>
    <m/>
    <s v="Unknown Customer"/>
    <s v="Asia"/>
    <x v="1"/>
    <m/>
    <x v="1"/>
    <s v="Laptop"/>
    <x v="1"/>
    <s v="two"/>
    <n v="2"/>
    <m/>
    <x v="7"/>
    <s v="€"/>
    <s v="EUR"/>
    <m/>
    <x v="3"/>
    <s v="five"/>
    <x v="0"/>
    <s v="late delivery"/>
  </r>
  <r>
    <m/>
    <x v="1"/>
    <s v="02-07-2024"/>
    <d v="2024-07-02T00:00:00"/>
    <m/>
    <s v="Unknown Customer"/>
    <m/>
    <x v="0"/>
    <s v="Mobile"/>
    <x v="2"/>
    <s v="phone"/>
    <x v="2"/>
    <n v="3"/>
    <n v="3"/>
    <s v="$1353.1"/>
    <x v="59"/>
    <s v="USD"/>
    <s v="USD"/>
    <s v="RETURNED"/>
    <x v="2"/>
    <n v="5"/>
    <x v="0"/>
    <m/>
  </r>
  <r>
    <m/>
    <x v="1"/>
    <s v="05-01-2024"/>
    <d v="2024-01-05T00:00:00"/>
    <s v="Cust. 81"/>
    <s v="Customer 81"/>
    <s v="EU"/>
    <x v="2"/>
    <m/>
    <x v="1"/>
    <s v="phone"/>
    <x v="2"/>
    <n v="3"/>
    <n v="3"/>
    <s v="$1175.02"/>
    <x v="60"/>
    <s v="EUR"/>
    <s v="EUR"/>
    <s v="pending"/>
    <x v="0"/>
    <m/>
    <x v="3"/>
    <m/>
  </r>
  <r>
    <n v="1082"/>
    <x v="53"/>
    <s v="11-06-2024"/>
    <d v="2024-06-11T00:00:00"/>
    <s v="customer 82"/>
    <s v="Customer 82"/>
    <m/>
    <x v="0"/>
    <s v="Online"/>
    <x v="0"/>
    <s v="TABLET"/>
    <x v="0"/>
    <n v="3"/>
    <n v="3"/>
    <s v="$2248.26"/>
    <x v="61"/>
    <s v="USD"/>
    <s v="USD"/>
    <m/>
    <x v="3"/>
    <n v="1"/>
    <x v="4"/>
    <m/>
  </r>
  <r>
    <m/>
    <x v="1"/>
    <s v="06-07-2024"/>
    <d v="2024-07-06T00:00:00"/>
    <s v="customer 83"/>
    <s v="Customer 83"/>
    <s v="EU"/>
    <x v="2"/>
    <s v="Mobile"/>
    <x v="2"/>
    <s v="phone"/>
    <x v="2"/>
    <s v="two"/>
    <n v="2"/>
    <n v="2376.4"/>
    <x v="62"/>
    <s v="USD"/>
    <s v="USD"/>
    <s v="Delivered"/>
    <x v="1"/>
    <n v="2"/>
    <x v="2"/>
    <s v="VIP"/>
  </r>
  <r>
    <n v="1084"/>
    <x v="54"/>
    <s v="09-28-2024"/>
    <s v=""/>
    <m/>
    <s v="Unknown Customer"/>
    <m/>
    <x v="0"/>
    <s v="Mobile"/>
    <x v="2"/>
    <s v="TABLET"/>
    <x v="0"/>
    <n v="3"/>
    <n v="3"/>
    <s v="$1530.29"/>
    <x v="63"/>
    <s v="EUR"/>
    <s v="EUR"/>
    <s v="RETURNED"/>
    <x v="2"/>
    <n v="1"/>
    <x v="4"/>
    <s v="late delivery"/>
  </r>
  <r>
    <m/>
    <x v="1"/>
    <s v="01-21-2025"/>
    <s v=""/>
    <s v="Customer 85"/>
    <s v="Customer 85"/>
    <m/>
    <x v="0"/>
    <s v="Mobile"/>
    <x v="2"/>
    <s v="Laptop"/>
    <x v="1"/>
    <n v="3"/>
    <n v="3"/>
    <m/>
    <x v="7"/>
    <m/>
    <s v="Unknown"/>
    <s v="Delivered"/>
    <x v="1"/>
    <n v="5"/>
    <x v="0"/>
    <s v="VIP"/>
  </r>
  <r>
    <m/>
    <x v="1"/>
    <m/>
    <s v=""/>
    <s v="Cust. 86"/>
    <s v="Customer 86"/>
    <s v="EU"/>
    <x v="2"/>
    <m/>
    <x v="1"/>
    <s v="Lapotp"/>
    <x v="1"/>
    <s v="two"/>
    <n v="2"/>
    <s v="$2259.58"/>
    <x v="64"/>
    <s v="EUR"/>
    <s v="EUR"/>
    <s v="pending"/>
    <x v="0"/>
    <s v="five"/>
    <x v="0"/>
    <s v="VIP"/>
  </r>
  <r>
    <m/>
    <x v="1"/>
    <m/>
    <s v=""/>
    <s v="Cust. 87"/>
    <s v="Customer 87"/>
    <m/>
    <x v="0"/>
    <s v="Mobile"/>
    <x v="2"/>
    <s v="Laptop"/>
    <x v="1"/>
    <n v="2"/>
    <n v="2"/>
    <n v="703.03"/>
    <x v="65"/>
    <s v="EUR"/>
    <s v="EUR"/>
    <s v="Delivered"/>
    <x v="1"/>
    <n v="3"/>
    <x v="1"/>
    <m/>
  </r>
  <r>
    <s v="ORD-1088"/>
    <x v="55"/>
    <m/>
    <s v=""/>
    <s v="Cust. 88"/>
    <s v="Customer 88"/>
    <m/>
    <x v="0"/>
    <m/>
    <x v="1"/>
    <s v="TABLET"/>
    <x v="0"/>
    <m/>
    <s v="Unknown"/>
    <s v="336.72 EUR"/>
    <x v="66"/>
    <s v="$"/>
    <s v="USD"/>
    <s v="pending"/>
    <x v="0"/>
    <m/>
    <x v="3"/>
    <s v="late delivery"/>
  </r>
  <r>
    <m/>
    <x v="1"/>
    <m/>
    <s v=""/>
    <s v="Cust. 89"/>
    <s v="Customer 89"/>
    <s v="EU"/>
    <x v="2"/>
    <m/>
    <x v="1"/>
    <s v="phone"/>
    <x v="2"/>
    <n v="2"/>
    <n v="2"/>
    <m/>
    <x v="7"/>
    <s v="$"/>
    <s v="USD"/>
    <s v="RETURNED"/>
    <x v="2"/>
    <n v="2"/>
    <x v="2"/>
    <s v="VIP"/>
  </r>
  <r>
    <m/>
    <x v="1"/>
    <s v="02-20-2024"/>
    <s v=""/>
    <s v="Customer 90"/>
    <s v="Customer 90"/>
    <s v="europe"/>
    <x v="2"/>
    <s v="Mobile"/>
    <x v="2"/>
    <s v="Lapotp"/>
    <x v="1"/>
    <n v="1"/>
    <n v="1"/>
    <s v="$2943.74"/>
    <x v="67"/>
    <s v="$"/>
    <s v="USD"/>
    <s v="Delivered"/>
    <x v="1"/>
    <m/>
    <x v="3"/>
    <s v="late delivery"/>
  </r>
  <r>
    <n v="1091"/>
    <x v="56"/>
    <s v="11-24-2024"/>
    <s v=""/>
    <s v="customer 91"/>
    <s v="Customer 91"/>
    <s v="US"/>
    <x v="3"/>
    <s v="Web"/>
    <x v="0"/>
    <s v="Lapotp"/>
    <x v="1"/>
    <n v="1"/>
    <n v="1"/>
    <n v="1936.5"/>
    <x v="68"/>
    <m/>
    <s v="Unknown"/>
    <s v="Delivered"/>
    <x v="1"/>
    <s v="five"/>
    <x v="0"/>
    <s v="late delivery"/>
  </r>
  <r>
    <n v="1092"/>
    <x v="57"/>
    <s v="2025-02-20"/>
    <d v="2025-02-20T00:00:00"/>
    <s v="Cust. 92"/>
    <s v="Customer 92"/>
    <m/>
    <x v="0"/>
    <s v="Online"/>
    <x v="0"/>
    <s v="Lapotp"/>
    <x v="1"/>
    <m/>
    <s v="Unknown"/>
    <s v="$2615.6"/>
    <x v="69"/>
    <s v="€"/>
    <s v="EUR"/>
    <s v="Delivered"/>
    <x v="1"/>
    <n v="1"/>
    <x v="4"/>
    <m/>
  </r>
  <r>
    <m/>
    <x v="1"/>
    <s v="03-08-2024"/>
    <d v="2024-08-03T00:00:00"/>
    <s v="Customer 93"/>
    <s v="Customer 93"/>
    <s v="US"/>
    <x v="3"/>
    <s v="Mobile"/>
    <x v="2"/>
    <s v="Laptop"/>
    <x v="1"/>
    <n v="2"/>
    <n v="2"/>
    <s v="93.84 EUR"/>
    <x v="70"/>
    <s v="$"/>
    <s v="USD"/>
    <s v="pending"/>
    <x v="0"/>
    <n v="1"/>
    <x v="4"/>
    <m/>
  </r>
  <r>
    <m/>
    <x v="1"/>
    <s v="2024-08-31"/>
    <d v="2024-08-31T00:00:00"/>
    <m/>
    <s v="Unknown Customer"/>
    <s v="U.S."/>
    <x v="3"/>
    <s v="Online"/>
    <x v="0"/>
    <s v="TABLET"/>
    <x v="0"/>
    <n v="1"/>
    <n v="1"/>
    <s v="$1372.41"/>
    <x v="71"/>
    <m/>
    <s v="Unknown"/>
    <s v="RETURNED"/>
    <x v="2"/>
    <n v="5"/>
    <x v="0"/>
    <m/>
  </r>
  <r>
    <s v="ORD-1095"/>
    <x v="58"/>
    <s v="2024-02-01"/>
    <d v="2024-02-01T00:00:00"/>
    <m/>
    <s v="Unknown Customer"/>
    <m/>
    <x v="0"/>
    <s v="Mobile"/>
    <x v="2"/>
    <s v="Laptop"/>
    <x v="1"/>
    <n v="1"/>
    <n v="1"/>
    <m/>
    <x v="7"/>
    <s v="€"/>
    <s v="EUR"/>
    <s v="pending"/>
    <x v="0"/>
    <n v="2"/>
    <x v="2"/>
    <m/>
  </r>
  <r>
    <s v="ORD-1096"/>
    <x v="59"/>
    <s v="03-05-2024"/>
    <d v="2024-05-03T00:00:00"/>
    <m/>
    <s v="Unknown Customer"/>
    <s v="U.S."/>
    <x v="3"/>
    <s v="Web"/>
    <x v="0"/>
    <s v="phone"/>
    <x v="2"/>
    <n v="1"/>
    <n v="1"/>
    <s v="$861.3"/>
    <x v="72"/>
    <s v="EUR"/>
    <s v="EUR"/>
    <m/>
    <x v="3"/>
    <m/>
    <x v="3"/>
    <s v="late delivery"/>
  </r>
  <r>
    <s v="ORD-1097"/>
    <x v="60"/>
    <s v="08-08-2024"/>
    <d v="2024-08-08T00:00:00"/>
    <m/>
    <s v="Unknown Customer"/>
    <s v="europe"/>
    <x v="2"/>
    <s v="Mobile"/>
    <x v="2"/>
    <s v="TABLET"/>
    <x v="0"/>
    <n v="1"/>
    <n v="1"/>
    <s v="1382.09 EUR"/>
    <x v="73"/>
    <s v="€"/>
    <s v="EUR"/>
    <s v="RETURNED"/>
    <x v="2"/>
    <n v="3"/>
    <x v="1"/>
    <s v="VIP"/>
  </r>
  <r>
    <n v="1098"/>
    <x v="61"/>
    <s v="2024-07-10"/>
    <d v="2024-07-10T00:00:00"/>
    <s v="Customer 98"/>
    <s v="Customer 98"/>
    <s v="EU"/>
    <x v="2"/>
    <s v="Mobile"/>
    <x v="2"/>
    <s v="Laptop"/>
    <x v="1"/>
    <n v="3"/>
    <n v="3"/>
    <m/>
    <x v="7"/>
    <s v="USD"/>
    <s v="USD"/>
    <s v="pending"/>
    <x v="0"/>
    <n v="1"/>
    <x v="4"/>
    <s v="VIP"/>
  </r>
  <r>
    <m/>
    <x v="1"/>
    <m/>
    <s v=""/>
    <s v="Customer 99"/>
    <s v="Customer 99"/>
    <s v="Asia"/>
    <x v="1"/>
    <s v="Web"/>
    <x v="0"/>
    <s v="phone"/>
    <x v="2"/>
    <n v="3"/>
    <n v="3"/>
    <s v="$410.58"/>
    <x v="74"/>
    <s v="EUR"/>
    <s v="EUR"/>
    <s v="pending"/>
    <x v="0"/>
    <s v="five"/>
    <x v="0"/>
    <s v="late delivery"/>
  </r>
  <r>
    <n v="1100"/>
    <x v="62"/>
    <s v="03-20-2024"/>
    <s v=""/>
    <s v="Cust. 100"/>
    <s v="Customer 100"/>
    <s v="EU"/>
    <x v="2"/>
    <s v="Mobile"/>
    <x v="2"/>
    <s v="TABLET"/>
    <x v="0"/>
    <n v="2"/>
    <n v="2"/>
    <s v="1987.37 EUR"/>
    <x v="75"/>
    <s v="$"/>
    <s v="USD"/>
    <s v="pending"/>
    <x v="0"/>
    <s v="five"/>
    <x v="0"/>
    <m/>
  </r>
  <r>
    <n v="1101"/>
    <x v="63"/>
    <s v="07/11/2024"/>
    <d v="2024-11-07T00:00:00"/>
    <s v="Cust. 101"/>
    <s v="Customer 101"/>
    <m/>
    <x v="0"/>
    <s v="Mobile"/>
    <x v="2"/>
    <s v="phone"/>
    <x v="2"/>
    <n v="3"/>
    <n v="3"/>
    <s v="$2790.8"/>
    <x v="76"/>
    <s v="EUR"/>
    <s v="EUR"/>
    <s v="Delivered"/>
    <x v="1"/>
    <n v="2"/>
    <x v="2"/>
    <m/>
  </r>
  <r>
    <n v="1102"/>
    <x v="64"/>
    <s v="05/02/2024"/>
    <d v="2024-02-05T00:00:00"/>
    <m/>
    <s v="Unknown Customer"/>
    <s v="europe"/>
    <x v="2"/>
    <s v="Mobile"/>
    <x v="2"/>
    <s v="phone"/>
    <x v="2"/>
    <n v="2"/>
    <n v="2"/>
    <n v="468.53"/>
    <x v="77"/>
    <s v="€"/>
    <s v="EUR"/>
    <s v="RETURNED"/>
    <x v="2"/>
    <m/>
    <x v="3"/>
    <s v="VIP"/>
  </r>
  <r>
    <n v="1103"/>
    <x v="65"/>
    <s v="01/02/2025"/>
    <d v="2025-02-01T00:00:00"/>
    <s v="customer 103"/>
    <s v="Customer 103"/>
    <m/>
    <x v="0"/>
    <s v="Web"/>
    <x v="0"/>
    <s v="Laptop"/>
    <x v="1"/>
    <n v="1"/>
    <n v="1"/>
    <n v="2827.15"/>
    <x v="78"/>
    <s v="€"/>
    <s v="EUR"/>
    <s v="RETURNED"/>
    <x v="2"/>
    <m/>
    <x v="3"/>
    <m/>
  </r>
  <r>
    <s v="ORD-1104"/>
    <x v="66"/>
    <s v="05/09/2024"/>
    <d v="2024-09-05T00:00:00"/>
    <s v="Customer 104"/>
    <s v="Customer 104"/>
    <s v="Asia"/>
    <x v="1"/>
    <s v="Mobile"/>
    <x v="2"/>
    <s v="Laptop"/>
    <x v="1"/>
    <n v="3"/>
    <n v="3"/>
    <m/>
    <x v="7"/>
    <m/>
    <s v="Unknown"/>
    <s v="RETURNED"/>
    <x v="2"/>
    <s v="five"/>
    <x v="0"/>
    <s v="VIP"/>
  </r>
  <r>
    <n v="1105"/>
    <x v="67"/>
    <s v="24/01/2024"/>
    <d v="2024-01-24T00:00:00"/>
    <s v="Cust. 105"/>
    <s v="Customer 105"/>
    <s v="US"/>
    <x v="3"/>
    <s v="Online"/>
    <x v="0"/>
    <m/>
    <x v="3"/>
    <n v="3"/>
    <n v="3"/>
    <n v="700.53"/>
    <x v="79"/>
    <s v="€"/>
    <s v="EUR"/>
    <s v="RETURNED"/>
    <x v="2"/>
    <n v="1"/>
    <x v="4"/>
    <m/>
  </r>
  <r>
    <n v="1106"/>
    <x v="68"/>
    <m/>
    <s v=""/>
    <s v="customer 106"/>
    <s v="Customer 106"/>
    <s v="U.S."/>
    <x v="3"/>
    <s v="Web"/>
    <x v="0"/>
    <m/>
    <x v="3"/>
    <n v="3"/>
    <n v="3"/>
    <s v="2253.69 EUR"/>
    <x v="80"/>
    <s v="EUR"/>
    <s v="EUR"/>
    <s v="RETURNED"/>
    <x v="2"/>
    <m/>
    <x v="3"/>
    <m/>
  </r>
  <r>
    <s v="ORD-1107"/>
    <x v="69"/>
    <m/>
    <s v=""/>
    <m/>
    <s v="Unknown Customer"/>
    <m/>
    <x v="0"/>
    <m/>
    <x v="1"/>
    <s v="phone"/>
    <x v="2"/>
    <n v="3"/>
    <n v="3"/>
    <n v="105.29"/>
    <x v="81"/>
    <s v="EUR"/>
    <s v="EUR"/>
    <s v="RETURNED"/>
    <x v="2"/>
    <n v="1"/>
    <x v="4"/>
    <s v="VIP"/>
  </r>
  <r>
    <m/>
    <x v="1"/>
    <s v="03-28-2024"/>
    <s v=""/>
    <s v="Customer 108"/>
    <s v="Customer 108"/>
    <s v="europe"/>
    <x v="2"/>
    <s v="Online"/>
    <x v="0"/>
    <s v="Lapotp"/>
    <x v="1"/>
    <s v="two"/>
    <n v="2"/>
    <m/>
    <x v="7"/>
    <m/>
    <s v="Unknown"/>
    <s v="RETURNED"/>
    <x v="2"/>
    <s v="five"/>
    <x v="0"/>
    <m/>
  </r>
  <r>
    <n v="1109"/>
    <x v="70"/>
    <s v="07-21-2024"/>
    <s v=""/>
    <s v="customer 109"/>
    <s v="Customer 109"/>
    <s v="EU"/>
    <x v="2"/>
    <s v="Web"/>
    <x v="0"/>
    <s v="TABLET"/>
    <x v="0"/>
    <n v="1"/>
    <n v="1"/>
    <s v="$2618.05"/>
    <x v="82"/>
    <m/>
    <s v="Unknown"/>
    <s v="pending"/>
    <x v="0"/>
    <n v="2"/>
    <x v="2"/>
    <s v="VIP"/>
  </r>
  <r>
    <n v="1110"/>
    <x v="71"/>
    <s v="2024-06-28"/>
    <d v="2024-06-28T00:00:00"/>
    <s v="customer 110"/>
    <s v="Customer 110"/>
    <s v="Asia"/>
    <x v="1"/>
    <s v="Online"/>
    <x v="0"/>
    <s v="Lapotp"/>
    <x v="1"/>
    <m/>
    <s v="Unknown"/>
    <s v="2195.77 EUR"/>
    <x v="83"/>
    <s v="USD"/>
    <s v="USD"/>
    <m/>
    <x v="3"/>
    <n v="1"/>
    <x v="4"/>
    <s v="late delivery"/>
  </r>
  <r>
    <m/>
    <x v="1"/>
    <m/>
    <s v=""/>
    <s v="Cust. 111"/>
    <s v="Customer 111"/>
    <m/>
    <x v="0"/>
    <m/>
    <x v="1"/>
    <s v="phone"/>
    <x v="2"/>
    <n v="2"/>
    <n v="2"/>
    <m/>
    <x v="7"/>
    <s v="$"/>
    <s v="USD"/>
    <s v="Delivered"/>
    <x v="1"/>
    <n v="5"/>
    <x v="0"/>
    <m/>
  </r>
  <r>
    <m/>
    <x v="1"/>
    <s v="2024-11-19"/>
    <d v="2024-11-19T00:00:00"/>
    <s v="Cust. 112"/>
    <s v="Customer 112"/>
    <s v="U.S."/>
    <x v="3"/>
    <s v="Online"/>
    <x v="0"/>
    <s v="phone"/>
    <x v="2"/>
    <s v="two"/>
    <n v="2"/>
    <s v="$943.32"/>
    <x v="84"/>
    <s v="$"/>
    <s v="USD"/>
    <s v="Delivered"/>
    <x v="1"/>
    <n v="1"/>
    <x v="4"/>
    <s v="VIP"/>
  </r>
  <r>
    <m/>
    <x v="1"/>
    <m/>
    <s v=""/>
    <m/>
    <s v="Unknown Customer"/>
    <s v="U.S."/>
    <x v="3"/>
    <s v="Web"/>
    <x v="0"/>
    <m/>
    <x v="3"/>
    <n v="1"/>
    <n v="1"/>
    <n v="276.36"/>
    <x v="85"/>
    <s v="$"/>
    <s v="USD"/>
    <s v="pending"/>
    <x v="0"/>
    <m/>
    <x v="3"/>
    <s v="late delivery"/>
  </r>
  <r>
    <n v="1114"/>
    <x v="72"/>
    <m/>
    <s v=""/>
    <s v="Customer 114"/>
    <s v="Customer 114"/>
    <m/>
    <x v="0"/>
    <s v="Mobile"/>
    <x v="2"/>
    <s v="TABLET"/>
    <x v="0"/>
    <n v="1"/>
    <n v="1"/>
    <s v="1834.77 EUR"/>
    <x v="86"/>
    <m/>
    <s v="Unknown"/>
    <m/>
    <x v="3"/>
    <n v="2"/>
    <x v="2"/>
    <m/>
  </r>
  <r>
    <m/>
    <x v="1"/>
    <s v="06/05/2024"/>
    <d v="2024-05-06T00:00:00"/>
    <s v="Cust. 115"/>
    <s v="Customer 115"/>
    <s v="Asia"/>
    <x v="1"/>
    <s v="Mobile"/>
    <x v="2"/>
    <s v="phone"/>
    <x v="2"/>
    <s v="two"/>
    <n v="2"/>
    <m/>
    <x v="7"/>
    <s v="€"/>
    <s v="EUR"/>
    <m/>
    <x v="3"/>
    <s v="five"/>
    <x v="0"/>
    <m/>
  </r>
  <r>
    <n v="1116"/>
    <x v="73"/>
    <s v="02-08-2025"/>
    <d v="2025-08-02T00:00:00"/>
    <s v="Customer 116"/>
    <s v="Customer 116"/>
    <s v="U.S."/>
    <x v="3"/>
    <m/>
    <x v="1"/>
    <s v="phone"/>
    <x v="2"/>
    <n v="3"/>
    <n v="3"/>
    <s v="$1911.12"/>
    <x v="87"/>
    <s v="€"/>
    <s v="EUR"/>
    <m/>
    <x v="3"/>
    <m/>
    <x v="3"/>
    <s v="late delivery"/>
  </r>
  <r>
    <s v="ORD-1117"/>
    <x v="74"/>
    <s v="06-19-2024"/>
    <s v=""/>
    <m/>
    <s v="Unknown Customer"/>
    <s v="US"/>
    <x v="3"/>
    <s v="Web"/>
    <x v="0"/>
    <s v="TABLET"/>
    <x v="0"/>
    <n v="1"/>
    <n v="1"/>
    <s v="290.43 EUR"/>
    <x v="88"/>
    <s v="€"/>
    <s v="EUR"/>
    <s v="pending"/>
    <x v="0"/>
    <n v="5"/>
    <x v="0"/>
    <s v="VIP"/>
  </r>
  <r>
    <m/>
    <x v="1"/>
    <m/>
    <s v=""/>
    <s v="Cust. 118"/>
    <s v="Customer 118"/>
    <s v="EU"/>
    <x v="2"/>
    <s v="Mobile"/>
    <x v="2"/>
    <s v="phone"/>
    <x v="2"/>
    <n v="2"/>
    <n v="2"/>
    <n v="426.99"/>
    <x v="89"/>
    <s v="USD"/>
    <s v="USD"/>
    <s v="RETURNED"/>
    <x v="2"/>
    <n v="5"/>
    <x v="0"/>
    <s v="late delivery"/>
  </r>
  <r>
    <n v="1119"/>
    <x v="75"/>
    <s v="04-25-2024"/>
    <s v=""/>
    <s v="Customer 119"/>
    <s v="Customer 119"/>
    <s v="U.S."/>
    <x v="3"/>
    <s v="Web"/>
    <x v="0"/>
    <m/>
    <x v="3"/>
    <m/>
    <s v="Unknown"/>
    <s v="2999.93 EUR"/>
    <x v="90"/>
    <s v="EUR"/>
    <s v="EUR"/>
    <m/>
    <x v="3"/>
    <n v="3"/>
    <x v="1"/>
    <s v="late delivery"/>
  </r>
  <r>
    <n v="1120"/>
    <x v="76"/>
    <s v="01/11/2024"/>
    <d v="2024-11-01T00:00:00"/>
    <m/>
    <s v="Unknown Customer"/>
    <s v="EU"/>
    <x v="2"/>
    <s v="Mobile"/>
    <x v="2"/>
    <s v="phone"/>
    <x v="2"/>
    <n v="2"/>
    <n v="2"/>
    <s v="1161.32 EUR"/>
    <x v="91"/>
    <s v="$"/>
    <s v="USD"/>
    <s v="pending"/>
    <x v="0"/>
    <n v="3"/>
    <x v="1"/>
    <m/>
  </r>
  <r>
    <s v="ORD-1121"/>
    <x v="77"/>
    <s v="29/04/2024"/>
    <d v="2024-04-29T00:00:00"/>
    <s v="Cust. 121"/>
    <s v="Customer 121"/>
    <m/>
    <x v="0"/>
    <s v="Web"/>
    <x v="0"/>
    <s v="phone"/>
    <x v="2"/>
    <s v="two"/>
    <n v="2"/>
    <s v="$1625.33"/>
    <x v="92"/>
    <s v="€"/>
    <s v="EUR"/>
    <s v="RETURNED"/>
    <x v="2"/>
    <s v="five"/>
    <x v="0"/>
    <m/>
  </r>
  <r>
    <s v="ORD-1122"/>
    <x v="78"/>
    <s v="2024-03-23"/>
    <d v="2024-03-23T00:00:00"/>
    <m/>
    <s v="Unknown Customer"/>
    <m/>
    <x v="0"/>
    <s v="Mobile"/>
    <x v="2"/>
    <s v="TABLET"/>
    <x v="0"/>
    <n v="1"/>
    <n v="1"/>
    <s v="2459.83 EUR"/>
    <x v="93"/>
    <m/>
    <s v="Unknown"/>
    <s v="Delivered"/>
    <x v="1"/>
    <n v="3"/>
    <x v="1"/>
    <m/>
  </r>
  <r>
    <m/>
    <x v="1"/>
    <s v="25/01/2025"/>
    <d v="2025-01-25T00:00:00"/>
    <m/>
    <s v="Unknown Customer"/>
    <s v="EU"/>
    <x v="2"/>
    <s v="Online"/>
    <x v="0"/>
    <m/>
    <x v="3"/>
    <s v="two"/>
    <n v="2"/>
    <m/>
    <x v="7"/>
    <s v="€"/>
    <s v="EUR"/>
    <s v="Delivered"/>
    <x v="1"/>
    <n v="5"/>
    <x v="0"/>
    <m/>
  </r>
  <r>
    <s v="ORD-1124"/>
    <x v="79"/>
    <s v="2024-07-21"/>
    <d v="2024-07-21T00:00:00"/>
    <s v="Cust. 124"/>
    <s v="Customer 124"/>
    <s v="US"/>
    <x v="3"/>
    <s v="Online"/>
    <x v="0"/>
    <s v="phone"/>
    <x v="2"/>
    <n v="1"/>
    <n v="1"/>
    <s v="1530.92 EUR"/>
    <x v="94"/>
    <s v="€"/>
    <s v="EUR"/>
    <s v="Delivered"/>
    <x v="1"/>
    <n v="2"/>
    <x v="2"/>
    <m/>
  </r>
  <r>
    <m/>
    <x v="1"/>
    <s v="26/05/2024"/>
    <d v="2024-05-26T00:00:00"/>
    <m/>
    <s v="Unknown Customer"/>
    <s v="europe"/>
    <x v="2"/>
    <s v="Web"/>
    <x v="0"/>
    <s v="Laptop"/>
    <x v="1"/>
    <n v="1"/>
    <n v="1"/>
    <m/>
    <x v="7"/>
    <s v="EUR"/>
    <s v="EUR"/>
    <s v="RETURNED"/>
    <x v="2"/>
    <n v="2"/>
    <x v="2"/>
    <s v="late delivery"/>
  </r>
  <r>
    <n v="1126"/>
    <x v="80"/>
    <s v="10-07-2024"/>
    <d v="2024-07-10T00:00:00"/>
    <s v="customer 126"/>
    <s v="Customer 126"/>
    <s v="Asia"/>
    <x v="1"/>
    <s v="Online"/>
    <x v="0"/>
    <s v="Laptop"/>
    <x v="1"/>
    <n v="2"/>
    <n v="2"/>
    <m/>
    <x v="7"/>
    <s v="$"/>
    <s v="USD"/>
    <m/>
    <x v="3"/>
    <s v="five"/>
    <x v="0"/>
    <m/>
  </r>
  <r>
    <m/>
    <x v="1"/>
    <s v="2024-02-02"/>
    <d v="2024-02-02T00:00:00"/>
    <s v="customer 127"/>
    <s v="Customer 127"/>
    <m/>
    <x v="0"/>
    <s v="Online"/>
    <x v="0"/>
    <s v="phone"/>
    <x v="2"/>
    <s v="two"/>
    <n v="2"/>
    <m/>
    <x v="7"/>
    <s v="EUR"/>
    <s v="EUR"/>
    <s v="pending"/>
    <x v="0"/>
    <n v="3"/>
    <x v="1"/>
    <s v="late delivery"/>
  </r>
  <r>
    <m/>
    <x v="1"/>
    <s v="10-19-2024"/>
    <s v=""/>
    <s v="Customer 128"/>
    <s v="Customer 128"/>
    <s v="U.S."/>
    <x v="3"/>
    <s v="Web"/>
    <x v="0"/>
    <s v="TABLET"/>
    <x v="0"/>
    <m/>
    <s v="Unknown"/>
    <n v="1278.8699999999999"/>
    <x v="95"/>
    <m/>
    <s v="Unknown"/>
    <s v="Delivered"/>
    <x v="1"/>
    <n v="5"/>
    <x v="0"/>
    <m/>
  </r>
  <r>
    <s v="ORD-1129"/>
    <x v="81"/>
    <s v="2024-01-23"/>
    <d v="2024-01-23T00:00:00"/>
    <s v="Cust. 129"/>
    <s v="Customer 129"/>
    <m/>
    <x v="0"/>
    <s v="Online"/>
    <x v="0"/>
    <s v="phone"/>
    <x v="2"/>
    <n v="2"/>
    <n v="2"/>
    <s v="$1925.23"/>
    <x v="96"/>
    <s v="EUR"/>
    <s v="EUR"/>
    <s v="pending"/>
    <x v="0"/>
    <m/>
    <x v="3"/>
    <s v="VIP"/>
  </r>
  <r>
    <m/>
    <x v="1"/>
    <s v="09/03/2024"/>
    <d v="2024-03-09T00:00:00"/>
    <m/>
    <s v="Unknown Customer"/>
    <m/>
    <x v="0"/>
    <s v="Mobile"/>
    <x v="2"/>
    <s v="TABLET"/>
    <x v="0"/>
    <n v="2"/>
    <n v="2"/>
    <s v="$180.79"/>
    <x v="97"/>
    <s v="USD"/>
    <s v="USD"/>
    <s v="Delivered"/>
    <x v="1"/>
    <m/>
    <x v="3"/>
    <m/>
  </r>
  <r>
    <n v="1131"/>
    <x v="82"/>
    <s v="2024-01-19"/>
    <d v="2024-01-19T00:00:00"/>
    <s v="Cust. 131"/>
    <s v="Customer 131"/>
    <s v="Asia"/>
    <x v="1"/>
    <s v="Web"/>
    <x v="0"/>
    <s v="phone"/>
    <x v="2"/>
    <m/>
    <s v="Unknown"/>
    <n v="915.66"/>
    <x v="98"/>
    <s v="$"/>
    <s v="USD"/>
    <s v="RETURNED"/>
    <x v="2"/>
    <n v="1"/>
    <x v="4"/>
    <s v="late delivery"/>
  </r>
  <r>
    <m/>
    <x v="1"/>
    <s v="05-26-2024"/>
    <s v=""/>
    <s v="Cust. 132"/>
    <s v="Customer 132"/>
    <s v="EU"/>
    <x v="2"/>
    <s v="Mobile"/>
    <x v="2"/>
    <s v="phone"/>
    <x v="2"/>
    <s v="two"/>
    <n v="2"/>
    <n v="1103.07"/>
    <x v="99"/>
    <s v="$"/>
    <s v="USD"/>
    <s v="RETURNED"/>
    <x v="2"/>
    <n v="3"/>
    <x v="1"/>
    <s v="late delivery"/>
  </r>
  <r>
    <m/>
    <x v="1"/>
    <s v="09-11-2024"/>
    <d v="2024-11-09T00:00:00"/>
    <s v="Customer 133"/>
    <s v="Customer 133"/>
    <m/>
    <x v="0"/>
    <s v="Mobile"/>
    <x v="2"/>
    <s v="Laptop"/>
    <x v="1"/>
    <s v="two"/>
    <n v="2"/>
    <s v="$2091.6"/>
    <x v="100"/>
    <m/>
    <s v="Unknown"/>
    <s v="Delivered"/>
    <x v="1"/>
    <s v="five"/>
    <x v="0"/>
    <s v="VIP"/>
  </r>
  <r>
    <m/>
    <x v="1"/>
    <s v="06-13-2024"/>
    <s v=""/>
    <s v="Cust. 134"/>
    <s v="Customer 134"/>
    <s v="europe"/>
    <x v="2"/>
    <s v="Web"/>
    <x v="0"/>
    <s v="TABLET"/>
    <x v="0"/>
    <s v="two"/>
    <n v="2"/>
    <s v="$352.66"/>
    <x v="101"/>
    <s v="USD"/>
    <s v="USD"/>
    <m/>
    <x v="3"/>
    <n v="5"/>
    <x v="0"/>
    <s v="VIP"/>
  </r>
  <r>
    <m/>
    <x v="1"/>
    <m/>
    <s v=""/>
    <s v="Cust. 135"/>
    <s v="Customer 135"/>
    <m/>
    <x v="0"/>
    <s v="Online"/>
    <x v="0"/>
    <s v="Laptop"/>
    <x v="1"/>
    <s v="two"/>
    <n v="2"/>
    <s v="$174.95"/>
    <x v="102"/>
    <s v="€"/>
    <s v="EUR"/>
    <s v="pending"/>
    <x v="0"/>
    <m/>
    <x v="3"/>
    <s v="late delivery"/>
  </r>
  <r>
    <n v="1136"/>
    <x v="83"/>
    <s v="16/01/2024"/>
    <d v="2024-01-16T00:00:00"/>
    <s v="Customer 136"/>
    <s v="Customer 136"/>
    <s v="US"/>
    <x v="3"/>
    <m/>
    <x v="1"/>
    <s v="phone"/>
    <x v="2"/>
    <n v="3"/>
    <n v="3"/>
    <m/>
    <x v="7"/>
    <s v="$"/>
    <s v="USD"/>
    <s v="pending"/>
    <x v="0"/>
    <n v="1"/>
    <x v="4"/>
    <s v="late delivery"/>
  </r>
  <r>
    <s v="ORD-1137"/>
    <x v="84"/>
    <m/>
    <s v=""/>
    <s v="Customer 137"/>
    <s v="Customer 137"/>
    <s v="U.S."/>
    <x v="3"/>
    <s v="Online"/>
    <x v="0"/>
    <s v="TABLET"/>
    <x v="0"/>
    <n v="3"/>
    <n v="3"/>
    <s v="$1377.27"/>
    <x v="103"/>
    <s v="$"/>
    <s v="USD"/>
    <s v="RETURNED"/>
    <x v="2"/>
    <m/>
    <x v="3"/>
    <s v="VIP"/>
  </r>
  <r>
    <m/>
    <x v="1"/>
    <s v="07/05/2024"/>
    <d v="2024-05-07T00:00:00"/>
    <m/>
    <s v="Unknown Customer"/>
    <s v="U.S."/>
    <x v="3"/>
    <s v="Mobile"/>
    <x v="2"/>
    <s v="TABLET"/>
    <x v="0"/>
    <n v="1"/>
    <n v="1"/>
    <n v="2883.53"/>
    <x v="104"/>
    <s v="€"/>
    <s v="EUR"/>
    <s v="RETURNED"/>
    <x v="2"/>
    <m/>
    <x v="3"/>
    <m/>
  </r>
  <r>
    <m/>
    <x v="1"/>
    <m/>
    <s v=""/>
    <s v="customer 139"/>
    <s v="Customer 139"/>
    <s v="EU"/>
    <x v="2"/>
    <s v="Online"/>
    <x v="0"/>
    <m/>
    <x v="3"/>
    <n v="1"/>
    <n v="1"/>
    <s v="$2989.28"/>
    <x v="105"/>
    <s v="$"/>
    <s v="USD"/>
    <s v="Delivered"/>
    <x v="1"/>
    <m/>
    <x v="3"/>
    <m/>
  </r>
  <r>
    <m/>
    <x v="1"/>
    <s v="02-14-2024"/>
    <s v=""/>
    <s v="Customer 140"/>
    <s v="Customer 140"/>
    <s v="U.S."/>
    <x v="3"/>
    <s v="Web"/>
    <x v="0"/>
    <s v="phone"/>
    <x v="2"/>
    <n v="3"/>
    <n v="3"/>
    <s v="$2441.01"/>
    <x v="106"/>
    <s v="USD"/>
    <s v="USD"/>
    <m/>
    <x v="3"/>
    <m/>
    <x v="3"/>
    <s v="late delivery"/>
  </r>
  <r>
    <n v="1141"/>
    <x v="85"/>
    <s v="10/02/2025"/>
    <d v="2025-02-10T00:00:00"/>
    <s v="customer 141"/>
    <s v="Customer 141"/>
    <s v="US"/>
    <x v="3"/>
    <s v="Mobile"/>
    <x v="2"/>
    <s v="Laptop"/>
    <x v="1"/>
    <n v="3"/>
    <n v="3"/>
    <s v="1116.4 EUR"/>
    <x v="107"/>
    <m/>
    <s v="Unknown"/>
    <s v="pending"/>
    <x v="0"/>
    <n v="3"/>
    <x v="1"/>
    <m/>
  </r>
  <r>
    <m/>
    <x v="1"/>
    <s v="2025-02-15"/>
    <d v="2025-02-15T00:00:00"/>
    <s v="Customer 142"/>
    <s v="Customer 142"/>
    <s v="Asia"/>
    <x v="1"/>
    <s v="Mobile"/>
    <x v="2"/>
    <s v="TABLET"/>
    <x v="0"/>
    <s v="two"/>
    <n v="2"/>
    <s v="2949.89 EUR"/>
    <x v="108"/>
    <m/>
    <s v="Unknown"/>
    <s v="RETURNED"/>
    <x v="2"/>
    <n v="5"/>
    <x v="0"/>
    <m/>
  </r>
  <r>
    <s v="ORD-1143"/>
    <x v="86"/>
    <m/>
    <s v=""/>
    <s v="Cust. 143"/>
    <s v="Customer 143"/>
    <s v="US"/>
    <x v="3"/>
    <s v="Web"/>
    <x v="0"/>
    <s v="TABLET"/>
    <x v="0"/>
    <m/>
    <s v="Unknown"/>
    <n v="2918.52"/>
    <x v="109"/>
    <s v="USD"/>
    <s v="USD"/>
    <s v="Delivered"/>
    <x v="1"/>
    <n v="5"/>
    <x v="0"/>
    <m/>
  </r>
  <r>
    <n v="1144"/>
    <x v="87"/>
    <s v="04/03/2024"/>
    <d v="2024-03-04T00:00:00"/>
    <s v="Cust. 144"/>
    <s v="Customer 144"/>
    <m/>
    <x v="0"/>
    <s v="Online"/>
    <x v="0"/>
    <s v="phone"/>
    <x v="2"/>
    <m/>
    <s v="Unknown"/>
    <s v="$1578.4"/>
    <x v="110"/>
    <s v="€"/>
    <s v="EUR"/>
    <s v="Delivered"/>
    <x v="1"/>
    <n v="3"/>
    <x v="1"/>
    <s v="late delivery"/>
  </r>
  <r>
    <n v="1145"/>
    <x v="88"/>
    <s v="11-21-2024"/>
    <s v=""/>
    <s v="Customer 145"/>
    <s v="Customer 145"/>
    <s v="U.S."/>
    <x v="3"/>
    <m/>
    <x v="1"/>
    <s v="Lapotp"/>
    <x v="1"/>
    <m/>
    <s v="Unknown"/>
    <s v="$2871.24"/>
    <x v="111"/>
    <m/>
    <s v="Unknown"/>
    <s v="Delivered"/>
    <x v="1"/>
    <n v="2"/>
    <x v="2"/>
    <s v="VIP"/>
  </r>
  <r>
    <n v="1146"/>
    <x v="89"/>
    <s v="2024-10-15"/>
    <d v="2024-10-15T00:00:00"/>
    <s v="Cust. 146"/>
    <s v="Customer 146"/>
    <m/>
    <x v="0"/>
    <s v="Online"/>
    <x v="0"/>
    <m/>
    <x v="3"/>
    <m/>
    <s v="Unknown"/>
    <n v="171.52"/>
    <x v="112"/>
    <s v="$"/>
    <s v="USD"/>
    <s v="pending"/>
    <x v="0"/>
    <m/>
    <x v="3"/>
    <m/>
  </r>
  <r>
    <m/>
    <x v="1"/>
    <s v="09-11-2024"/>
    <d v="2024-11-09T00:00:00"/>
    <m/>
    <s v="Unknown Customer"/>
    <s v="US"/>
    <x v="3"/>
    <m/>
    <x v="1"/>
    <s v="phone"/>
    <x v="2"/>
    <n v="3"/>
    <n v="3"/>
    <s v="$2672.54"/>
    <x v="113"/>
    <s v="$"/>
    <s v="USD"/>
    <s v="Delivered"/>
    <x v="1"/>
    <m/>
    <x v="3"/>
    <m/>
  </r>
  <r>
    <s v="ORD-1148"/>
    <x v="90"/>
    <s v="21/03/2024"/>
    <d v="2024-03-21T00:00:00"/>
    <s v="Cust. 148"/>
    <s v="Customer 148"/>
    <s v="U.S."/>
    <x v="3"/>
    <s v="Online"/>
    <x v="0"/>
    <s v="phone"/>
    <x v="2"/>
    <n v="3"/>
    <n v="3"/>
    <m/>
    <x v="7"/>
    <s v="€"/>
    <s v="EUR"/>
    <s v="RETURNED"/>
    <x v="2"/>
    <n v="2"/>
    <x v="2"/>
    <s v="VIP"/>
  </r>
  <r>
    <n v="1149"/>
    <x v="91"/>
    <m/>
    <s v=""/>
    <s v="Customer 149"/>
    <s v="Customer 149"/>
    <s v="Asia"/>
    <x v="1"/>
    <s v="Mobile"/>
    <x v="2"/>
    <s v="Lapotp"/>
    <x v="1"/>
    <n v="2"/>
    <n v="2"/>
    <s v="$1706.87"/>
    <x v="114"/>
    <s v="EUR"/>
    <s v="EUR"/>
    <s v="Delivered"/>
    <x v="1"/>
    <n v="3"/>
    <x v="1"/>
    <m/>
  </r>
  <r>
    <s v="ORD-1150"/>
    <x v="92"/>
    <s v="11-11-2024"/>
    <d v="2024-11-11T00:00:00"/>
    <s v="customer 150"/>
    <s v="Customer 150"/>
    <m/>
    <x v="0"/>
    <s v="Online"/>
    <x v="0"/>
    <s v="phone"/>
    <x v="2"/>
    <m/>
    <s v="Unknown"/>
    <s v="1283.5 EUR"/>
    <x v="115"/>
    <s v="$"/>
    <s v="USD"/>
    <s v="RETURNED"/>
    <x v="2"/>
    <n v="3"/>
    <x v="1"/>
    <m/>
  </r>
  <r>
    <m/>
    <x v="1"/>
    <m/>
    <s v=""/>
    <s v="customer 151"/>
    <s v="Customer 151"/>
    <s v="US"/>
    <x v="3"/>
    <s v="Web"/>
    <x v="0"/>
    <s v="phone"/>
    <x v="2"/>
    <n v="1"/>
    <n v="1"/>
    <m/>
    <x v="7"/>
    <s v="EUR"/>
    <s v="EUR"/>
    <s v="RETURNED"/>
    <x v="2"/>
    <n v="5"/>
    <x v="0"/>
    <m/>
  </r>
  <r>
    <s v="ORD-1152"/>
    <x v="93"/>
    <s v="26/05/2024"/>
    <d v="2024-05-26T00:00:00"/>
    <s v="Cust. 152"/>
    <s v="Customer 152"/>
    <m/>
    <x v="0"/>
    <s v="Mobile"/>
    <x v="2"/>
    <m/>
    <x v="3"/>
    <s v="two"/>
    <n v="2"/>
    <n v="1633.24"/>
    <x v="116"/>
    <s v="€"/>
    <s v="EUR"/>
    <s v="Delivered"/>
    <x v="1"/>
    <n v="5"/>
    <x v="0"/>
    <m/>
  </r>
  <r>
    <m/>
    <x v="1"/>
    <s v="10-18-2024"/>
    <s v=""/>
    <s v="Customer 153"/>
    <s v="Customer 153"/>
    <s v="europe"/>
    <x v="2"/>
    <s v="Web"/>
    <x v="0"/>
    <s v="phone"/>
    <x v="2"/>
    <m/>
    <s v="Unknown"/>
    <s v="$1707.36"/>
    <x v="117"/>
    <s v="€"/>
    <s v="EUR"/>
    <s v="pending"/>
    <x v="0"/>
    <m/>
    <x v="3"/>
    <m/>
  </r>
  <r>
    <s v="ORD-1154"/>
    <x v="94"/>
    <s v="03-06-2024"/>
    <d v="2024-06-03T00:00:00"/>
    <s v="Cust. 154"/>
    <s v="Customer 154"/>
    <m/>
    <x v="0"/>
    <s v="Online"/>
    <x v="0"/>
    <s v="Lapotp"/>
    <x v="1"/>
    <m/>
    <s v="Unknown"/>
    <m/>
    <x v="7"/>
    <m/>
    <s v="Unknown"/>
    <s v="RETURNED"/>
    <x v="2"/>
    <s v="five"/>
    <x v="0"/>
    <m/>
  </r>
  <r>
    <s v="ORD-1155"/>
    <x v="95"/>
    <m/>
    <s v=""/>
    <s v="customer 155"/>
    <s v="Customer 155"/>
    <s v="U.S."/>
    <x v="3"/>
    <s v="Web"/>
    <x v="0"/>
    <s v="Lapotp"/>
    <x v="1"/>
    <n v="3"/>
    <n v="3"/>
    <s v="$164.8"/>
    <x v="118"/>
    <m/>
    <s v="Unknown"/>
    <s v="RETURNED"/>
    <x v="2"/>
    <n v="2"/>
    <x v="2"/>
    <m/>
  </r>
  <r>
    <m/>
    <x v="1"/>
    <s v="11-11-2024"/>
    <d v="2024-11-11T00:00:00"/>
    <m/>
    <s v="Unknown Customer"/>
    <m/>
    <x v="0"/>
    <s v="Web"/>
    <x v="0"/>
    <s v="phone"/>
    <x v="2"/>
    <s v="two"/>
    <n v="2"/>
    <s v="$2230.99"/>
    <x v="119"/>
    <s v="EUR"/>
    <s v="EUR"/>
    <s v="RETURNED"/>
    <x v="2"/>
    <n v="3"/>
    <x v="1"/>
    <m/>
  </r>
  <r>
    <m/>
    <x v="1"/>
    <m/>
    <s v=""/>
    <s v="Cust. 157"/>
    <s v="Customer 157"/>
    <m/>
    <x v="0"/>
    <s v="Web"/>
    <x v="0"/>
    <s v="TABLET"/>
    <x v="0"/>
    <n v="2"/>
    <n v="2"/>
    <n v="1771.92"/>
    <x v="120"/>
    <s v="EUR"/>
    <s v="EUR"/>
    <s v="pending"/>
    <x v="0"/>
    <n v="5"/>
    <x v="0"/>
    <s v="late delivery"/>
  </r>
  <r>
    <n v="1158"/>
    <x v="96"/>
    <s v="25/09/2024"/>
    <d v="2024-09-25T00:00:00"/>
    <s v="Customer 158"/>
    <s v="Customer 158"/>
    <s v="U.S."/>
    <x v="3"/>
    <m/>
    <x v="1"/>
    <s v="Laptop"/>
    <x v="1"/>
    <n v="2"/>
    <n v="2"/>
    <m/>
    <x v="7"/>
    <s v="EUR"/>
    <s v="EUR"/>
    <s v="RETURNED"/>
    <x v="2"/>
    <n v="3"/>
    <x v="1"/>
    <m/>
  </r>
  <r>
    <s v="ORD-1159"/>
    <x v="97"/>
    <m/>
    <s v=""/>
    <s v="Customer 159"/>
    <s v="Customer 159"/>
    <m/>
    <x v="0"/>
    <s v="Online"/>
    <x v="0"/>
    <s v="TABLET"/>
    <x v="0"/>
    <n v="2"/>
    <n v="2"/>
    <s v="1268.23 EUR"/>
    <x v="121"/>
    <m/>
    <s v="Unknown"/>
    <s v="RETURNED"/>
    <x v="2"/>
    <m/>
    <x v="3"/>
    <m/>
  </r>
  <r>
    <s v="ORD-1160"/>
    <x v="98"/>
    <s v="09-26-2024"/>
    <s v=""/>
    <s v="Cust. 160"/>
    <s v="Customer 160"/>
    <m/>
    <x v="0"/>
    <m/>
    <x v="1"/>
    <s v="TABLET"/>
    <x v="0"/>
    <n v="3"/>
    <n v="3"/>
    <s v="1161.63 EUR"/>
    <x v="122"/>
    <m/>
    <s v="Unknown"/>
    <s v="RETURNED"/>
    <x v="2"/>
    <n v="2"/>
    <x v="2"/>
    <s v="late delivery"/>
  </r>
  <r>
    <s v="ORD-1161"/>
    <x v="99"/>
    <s v="05-22-2024"/>
    <s v=""/>
    <s v="customer 161"/>
    <s v="Customer 161"/>
    <m/>
    <x v="0"/>
    <m/>
    <x v="1"/>
    <s v="phone"/>
    <x v="2"/>
    <n v="3"/>
    <n v="3"/>
    <s v="1696.36 EUR"/>
    <x v="123"/>
    <s v="$"/>
    <s v="USD"/>
    <s v="RETURNED"/>
    <x v="2"/>
    <s v="five"/>
    <x v="0"/>
    <s v="VIP"/>
  </r>
  <r>
    <s v="ORD-1162"/>
    <x v="100"/>
    <s v="05-27-2024"/>
    <s v=""/>
    <s v="customer 162"/>
    <s v="Customer 162"/>
    <s v="Asia"/>
    <x v="1"/>
    <s v="Online"/>
    <x v="0"/>
    <s v="phone"/>
    <x v="2"/>
    <n v="1"/>
    <n v="1"/>
    <m/>
    <x v="7"/>
    <s v="€"/>
    <s v="EUR"/>
    <s v="RETURNED"/>
    <x v="2"/>
    <m/>
    <x v="3"/>
    <s v="VIP"/>
  </r>
  <r>
    <m/>
    <x v="1"/>
    <s v="01-17-2025"/>
    <s v=""/>
    <s v="Cust. 163"/>
    <s v="Customer 163"/>
    <s v="US"/>
    <x v="3"/>
    <s v="Online"/>
    <x v="0"/>
    <s v="TABLET"/>
    <x v="0"/>
    <m/>
    <s v="Unknown"/>
    <s v="1463.28 EUR"/>
    <x v="124"/>
    <s v="USD"/>
    <s v="USD"/>
    <s v="Delivered"/>
    <x v="1"/>
    <n v="1"/>
    <x v="4"/>
    <s v="late delivery"/>
  </r>
  <r>
    <s v="ORD-1164"/>
    <x v="101"/>
    <s v="11-22-2024"/>
    <s v=""/>
    <m/>
    <s v="Unknown Customer"/>
    <s v="EU"/>
    <x v="2"/>
    <m/>
    <x v="1"/>
    <m/>
    <x v="3"/>
    <n v="2"/>
    <n v="2"/>
    <n v="736.87"/>
    <x v="125"/>
    <s v="EUR"/>
    <s v="EUR"/>
    <s v="pending"/>
    <x v="0"/>
    <n v="2"/>
    <x v="2"/>
    <m/>
  </r>
  <r>
    <s v="ORD-1165"/>
    <x v="102"/>
    <s v="30/11/2024"/>
    <d v="2024-11-30T00:00:00"/>
    <s v="Cust. 165"/>
    <s v="Customer 165"/>
    <s v="Asia"/>
    <x v="1"/>
    <s v="Mobile"/>
    <x v="2"/>
    <s v="TABLET"/>
    <x v="0"/>
    <n v="1"/>
    <n v="1"/>
    <m/>
    <x v="7"/>
    <s v="EUR"/>
    <s v="EUR"/>
    <m/>
    <x v="3"/>
    <s v="five"/>
    <x v="0"/>
    <s v="late delivery"/>
  </r>
  <r>
    <n v="1166"/>
    <x v="103"/>
    <m/>
    <s v=""/>
    <s v="customer 166"/>
    <s v="Customer 166"/>
    <s v="EU"/>
    <x v="2"/>
    <s v="Mobile"/>
    <x v="2"/>
    <m/>
    <x v="3"/>
    <s v="two"/>
    <n v="2"/>
    <n v="2229.13"/>
    <x v="126"/>
    <s v="USD"/>
    <s v="USD"/>
    <m/>
    <x v="3"/>
    <n v="3"/>
    <x v="1"/>
    <m/>
  </r>
  <r>
    <s v="ORD-1167"/>
    <x v="104"/>
    <s v="01-05-2024"/>
    <d v="2024-05-01T00:00:00"/>
    <m/>
    <s v="Unknown Customer"/>
    <m/>
    <x v="0"/>
    <s v="Web"/>
    <x v="0"/>
    <s v="TABLET"/>
    <x v="0"/>
    <s v="two"/>
    <n v="2"/>
    <n v="930.26"/>
    <x v="127"/>
    <s v="USD"/>
    <s v="USD"/>
    <s v="pending"/>
    <x v="0"/>
    <n v="5"/>
    <x v="0"/>
    <s v="VIP"/>
  </r>
  <r>
    <n v="1168"/>
    <x v="105"/>
    <m/>
    <s v=""/>
    <s v="Cust. 168"/>
    <s v="Customer 168"/>
    <m/>
    <x v="0"/>
    <s v="Online"/>
    <x v="0"/>
    <s v="Laptop"/>
    <x v="1"/>
    <n v="3"/>
    <n v="3"/>
    <s v="$2436.0"/>
    <x v="128"/>
    <s v="€"/>
    <s v="EUR"/>
    <s v="pending"/>
    <x v="0"/>
    <m/>
    <x v="3"/>
    <s v="late delivery"/>
  </r>
  <r>
    <s v="ORD-1169"/>
    <x v="106"/>
    <s v="03-30-2024"/>
    <s v=""/>
    <s v="Customer 169"/>
    <s v="Customer 169"/>
    <s v="europe"/>
    <x v="2"/>
    <m/>
    <x v="1"/>
    <s v="Laptop"/>
    <x v="1"/>
    <n v="2"/>
    <n v="2"/>
    <m/>
    <x v="7"/>
    <s v="USD"/>
    <s v="USD"/>
    <s v="RETURNED"/>
    <x v="2"/>
    <n v="3"/>
    <x v="1"/>
    <s v="late delivery"/>
  </r>
  <r>
    <s v="ORD-1170"/>
    <x v="107"/>
    <s v="01-04-2024"/>
    <d v="2024-04-01T00:00:00"/>
    <s v="Cust. 170"/>
    <s v="Customer 170"/>
    <s v="Asia"/>
    <x v="1"/>
    <s v="Web"/>
    <x v="0"/>
    <s v="TABLET"/>
    <x v="0"/>
    <m/>
    <s v="Unknown"/>
    <s v="819.32 EUR"/>
    <x v="129"/>
    <s v="EUR"/>
    <s v="EUR"/>
    <s v="RETURNED"/>
    <x v="2"/>
    <m/>
    <x v="3"/>
    <s v="VIP"/>
  </r>
  <r>
    <s v="ORD-1171"/>
    <x v="108"/>
    <s v="12-20-2024"/>
    <s v=""/>
    <s v="customer 171"/>
    <s v="Customer 171"/>
    <s v="europe"/>
    <x v="2"/>
    <m/>
    <x v="1"/>
    <s v="TABLET"/>
    <x v="0"/>
    <n v="3"/>
    <n v="3"/>
    <n v="747.09"/>
    <x v="130"/>
    <s v="EUR"/>
    <s v="EUR"/>
    <m/>
    <x v="3"/>
    <n v="3"/>
    <x v="1"/>
    <s v="VIP"/>
  </r>
  <r>
    <s v="ORD-1172"/>
    <x v="109"/>
    <s v="10/11/2024"/>
    <d v="2024-11-10T00:00:00"/>
    <m/>
    <s v="Unknown Customer"/>
    <m/>
    <x v="0"/>
    <s v="Web"/>
    <x v="0"/>
    <s v="phone"/>
    <x v="2"/>
    <s v="two"/>
    <n v="2"/>
    <s v="701.51 EUR"/>
    <x v="131"/>
    <m/>
    <s v="Unknown"/>
    <s v="RETURNED"/>
    <x v="2"/>
    <s v="five"/>
    <x v="0"/>
    <s v="late delivery"/>
  </r>
  <r>
    <m/>
    <x v="1"/>
    <m/>
    <s v=""/>
    <s v="Cust. 173"/>
    <s v="Customer 173"/>
    <s v="EU"/>
    <x v="2"/>
    <s v="Web"/>
    <x v="0"/>
    <s v="Laptop"/>
    <x v="1"/>
    <n v="1"/>
    <n v="1"/>
    <n v="780.02"/>
    <x v="132"/>
    <m/>
    <s v="Unknown"/>
    <s v="pending"/>
    <x v="0"/>
    <n v="2"/>
    <x v="2"/>
    <s v="late delivery"/>
  </r>
  <r>
    <n v="1174"/>
    <x v="110"/>
    <s v="25/03/2024"/>
    <d v="2024-03-25T00:00:00"/>
    <m/>
    <s v="Unknown Customer"/>
    <s v="EU"/>
    <x v="2"/>
    <s v="Web"/>
    <x v="0"/>
    <s v="phone"/>
    <x v="2"/>
    <n v="1"/>
    <n v="1"/>
    <m/>
    <x v="7"/>
    <s v="$"/>
    <s v="USD"/>
    <s v="Delivered"/>
    <x v="1"/>
    <s v="five"/>
    <x v="0"/>
    <m/>
  </r>
  <r>
    <m/>
    <x v="1"/>
    <s v="08-21-2024"/>
    <s v=""/>
    <s v="Customer 175"/>
    <s v="Customer 175"/>
    <s v="europe"/>
    <x v="2"/>
    <s v="Mobile"/>
    <x v="2"/>
    <m/>
    <x v="3"/>
    <n v="1"/>
    <n v="1"/>
    <m/>
    <x v="7"/>
    <s v="USD"/>
    <s v="USD"/>
    <s v="pending"/>
    <x v="0"/>
    <n v="1"/>
    <x v="4"/>
    <m/>
  </r>
  <r>
    <m/>
    <x v="1"/>
    <s v="2024-08-04"/>
    <d v="2024-08-04T00:00:00"/>
    <s v="Customer 176"/>
    <s v="Customer 176"/>
    <s v="europe"/>
    <x v="2"/>
    <s v="Online"/>
    <x v="0"/>
    <s v="phone"/>
    <x v="2"/>
    <s v="two"/>
    <n v="2"/>
    <n v="1066.3599999999999"/>
    <x v="133"/>
    <s v="USD"/>
    <s v="USD"/>
    <s v="Delivered"/>
    <x v="1"/>
    <m/>
    <x v="3"/>
    <m/>
  </r>
  <r>
    <s v="ORD-1177"/>
    <x v="111"/>
    <m/>
    <s v=""/>
    <m/>
    <s v="Unknown Customer"/>
    <s v="EU"/>
    <x v="2"/>
    <m/>
    <x v="1"/>
    <s v="TABLET"/>
    <x v="0"/>
    <m/>
    <s v="Unknown"/>
    <m/>
    <x v="7"/>
    <s v="USD"/>
    <s v="USD"/>
    <m/>
    <x v="3"/>
    <n v="3"/>
    <x v="1"/>
    <m/>
  </r>
  <r>
    <m/>
    <x v="1"/>
    <s v="01/04/2024"/>
    <d v="2024-04-01T00:00:00"/>
    <s v="customer 178"/>
    <s v="Customer 178"/>
    <m/>
    <x v="0"/>
    <s v="Online"/>
    <x v="0"/>
    <m/>
    <x v="3"/>
    <n v="1"/>
    <n v="1"/>
    <m/>
    <x v="7"/>
    <s v="€"/>
    <s v="EUR"/>
    <s v="RETURNED"/>
    <x v="2"/>
    <m/>
    <x v="3"/>
    <m/>
  </r>
  <r>
    <n v="1179"/>
    <x v="112"/>
    <m/>
    <s v=""/>
    <s v="Cust. 179"/>
    <s v="Customer 179"/>
    <s v="US"/>
    <x v="3"/>
    <s v="Mobile"/>
    <x v="2"/>
    <s v="Lapotp"/>
    <x v="1"/>
    <n v="1"/>
    <n v="1"/>
    <s v="1168.87 EUR"/>
    <x v="134"/>
    <s v="EUR"/>
    <s v="EUR"/>
    <m/>
    <x v="3"/>
    <n v="5"/>
    <x v="0"/>
    <m/>
  </r>
  <r>
    <m/>
    <x v="1"/>
    <s v="2024-05-03"/>
    <d v="2024-05-03T00:00:00"/>
    <m/>
    <s v="Unknown Customer"/>
    <s v="U.S."/>
    <x v="3"/>
    <m/>
    <x v="1"/>
    <s v="TABLET"/>
    <x v="0"/>
    <n v="1"/>
    <n v="1"/>
    <n v="657.94"/>
    <x v="135"/>
    <s v="USD"/>
    <s v="USD"/>
    <m/>
    <x v="3"/>
    <n v="1"/>
    <x v="4"/>
    <m/>
  </r>
  <r>
    <n v="1181"/>
    <x v="113"/>
    <s v="12/08/2024"/>
    <d v="2024-08-12T00:00:00"/>
    <s v="Cust. 181"/>
    <s v="Customer 181"/>
    <s v="US"/>
    <x v="3"/>
    <m/>
    <x v="1"/>
    <s v="TABLET"/>
    <x v="0"/>
    <n v="3"/>
    <n v="3"/>
    <s v="741.3 EUR"/>
    <x v="136"/>
    <m/>
    <s v="Unknown"/>
    <s v="pending"/>
    <x v="0"/>
    <m/>
    <x v="3"/>
    <s v="VIP"/>
  </r>
  <r>
    <m/>
    <x v="1"/>
    <s v="01/05/2024"/>
    <d v="2024-05-01T00:00:00"/>
    <m/>
    <s v="Unknown Customer"/>
    <s v="Asia"/>
    <x v="1"/>
    <s v="Mobile"/>
    <x v="2"/>
    <s v="Laptop"/>
    <x v="1"/>
    <m/>
    <s v="Unknown"/>
    <s v="940.21 EUR"/>
    <x v="137"/>
    <m/>
    <s v="Unknown"/>
    <m/>
    <x v="3"/>
    <n v="2"/>
    <x v="2"/>
    <m/>
  </r>
  <r>
    <m/>
    <x v="1"/>
    <m/>
    <s v=""/>
    <s v="Cust. 183"/>
    <s v="Customer 183"/>
    <m/>
    <x v="0"/>
    <s v="Mobile"/>
    <x v="2"/>
    <s v="phone"/>
    <x v="2"/>
    <n v="2"/>
    <n v="2"/>
    <s v="$1512.08"/>
    <x v="138"/>
    <s v="€"/>
    <s v="EUR"/>
    <s v="RETURNED"/>
    <x v="2"/>
    <n v="2"/>
    <x v="2"/>
    <m/>
  </r>
  <r>
    <m/>
    <x v="1"/>
    <s v="03/05/2024"/>
    <d v="2024-05-03T00:00:00"/>
    <m/>
    <s v="Unknown Customer"/>
    <s v="EU"/>
    <x v="2"/>
    <s v="Web"/>
    <x v="0"/>
    <s v="phone"/>
    <x v="2"/>
    <s v="two"/>
    <n v="2"/>
    <s v="$2555.56"/>
    <x v="139"/>
    <m/>
    <s v="Unknown"/>
    <s v="pending"/>
    <x v="0"/>
    <n v="2"/>
    <x v="2"/>
    <m/>
  </r>
  <r>
    <m/>
    <x v="1"/>
    <s v="2024-05-04"/>
    <d v="2024-05-04T00:00:00"/>
    <m/>
    <s v="Unknown Customer"/>
    <m/>
    <x v="0"/>
    <s v="Mobile"/>
    <x v="2"/>
    <s v="Laptop"/>
    <x v="1"/>
    <m/>
    <s v="Unknown"/>
    <s v="$802.24"/>
    <x v="140"/>
    <s v="USD"/>
    <s v="USD"/>
    <s v="Delivered"/>
    <x v="1"/>
    <n v="3"/>
    <x v="1"/>
    <m/>
  </r>
  <r>
    <n v="1186"/>
    <x v="114"/>
    <s v="10/12/2024"/>
    <d v="2024-12-10T00:00:00"/>
    <s v="customer 186"/>
    <s v="Customer 186"/>
    <s v="europe"/>
    <x v="2"/>
    <s v="Online"/>
    <x v="0"/>
    <m/>
    <x v="3"/>
    <n v="3"/>
    <n v="3"/>
    <n v="1834.66"/>
    <x v="141"/>
    <s v="€"/>
    <s v="EUR"/>
    <s v="Delivered"/>
    <x v="1"/>
    <n v="2"/>
    <x v="2"/>
    <s v="late delivery"/>
  </r>
  <r>
    <n v="1187"/>
    <x v="115"/>
    <s v="14/01/2025"/>
    <d v="2025-01-14T00:00:00"/>
    <m/>
    <s v="Unknown Customer"/>
    <s v="US"/>
    <x v="3"/>
    <s v="Web"/>
    <x v="0"/>
    <s v="phone"/>
    <x v="2"/>
    <n v="3"/>
    <n v="3"/>
    <m/>
    <x v="7"/>
    <s v="$"/>
    <s v="USD"/>
    <s v="RETURNED"/>
    <x v="2"/>
    <s v="five"/>
    <x v="0"/>
    <s v="VIP"/>
  </r>
  <r>
    <s v="ORD-1188"/>
    <x v="116"/>
    <s v="2024-06-06"/>
    <d v="2024-06-06T00:00:00"/>
    <m/>
    <s v="Unknown Customer"/>
    <m/>
    <x v="0"/>
    <s v="Mobile"/>
    <x v="2"/>
    <s v="Lapotp"/>
    <x v="1"/>
    <n v="3"/>
    <n v="3"/>
    <m/>
    <x v="7"/>
    <s v="€"/>
    <s v="EUR"/>
    <s v="RETURNED"/>
    <x v="2"/>
    <n v="1"/>
    <x v="4"/>
    <s v="late delivery"/>
  </r>
  <r>
    <m/>
    <x v="1"/>
    <m/>
    <s v=""/>
    <s v="Cust. 189"/>
    <s v="Customer 189"/>
    <s v="US"/>
    <x v="3"/>
    <s v="Online"/>
    <x v="0"/>
    <s v="phone"/>
    <x v="2"/>
    <n v="2"/>
    <n v="2"/>
    <s v="$480.47"/>
    <x v="142"/>
    <s v="$"/>
    <s v="USD"/>
    <s v="pending"/>
    <x v="0"/>
    <n v="2"/>
    <x v="2"/>
    <m/>
  </r>
  <r>
    <s v="ORD-1190"/>
    <x v="117"/>
    <m/>
    <s v=""/>
    <m/>
    <s v="Unknown Customer"/>
    <s v="europe"/>
    <x v="2"/>
    <s v="Online"/>
    <x v="0"/>
    <s v="TABLET"/>
    <x v="0"/>
    <n v="3"/>
    <n v="3"/>
    <s v="$1981.09"/>
    <x v="143"/>
    <s v="USD"/>
    <s v="USD"/>
    <s v="Delivered"/>
    <x v="1"/>
    <m/>
    <x v="3"/>
    <m/>
  </r>
  <r>
    <m/>
    <x v="1"/>
    <s v="2024-04-04"/>
    <d v="2024-04-04T00:00:00"/>
    <s v="Customer 191"/>
    <s v="Customer 191"/>
    <m/>
    <x v="0"/>
    <m/>
    <x v="1"/>
    <s v="Laptop"/>
    <x v="1"/>
    <n v="1"/>
    <n v="1"/>
    <n v="2754.85"/>
    <x v="144"/>
    <s v="$"/>
    <s v="USD"/>
    <s v="Delivered"/>
    <x v="1"/>
    <m/>
    <x v="3"/>
    <s v="late delivery"/>
  </r>
  <r>
    <n v="1192"/>
    <x v="118"/>
    <m/>
    <s v=""/>
    <s v="Cust. 192"/>
    <s v="Customer 192"/>
    <s v="EU"/>
    <x v="2"/>
    <s v="Web"/>
    <x v="0"/>
    <s v="TABLET"/>
    <x v="0"/>
    <m/>
    <s v="Unknown"/>
    <n v="2136.15"/>
    <x v="145"/>
    <s v="$"/>
    <s v="USD"/>
    <m/>
    <x v="3"/>
    <n v="5"/>
    <x v="0"/>
    <m/>
  </r>
  <r>
    <n v="1193"/>
    <x v="119"/>
    <s v="2024-01-04"/>
    <d v="2024-01-04T00:00:00"/>
    <s v="Cust. 193"/>
    <s v="Customer 193"/>
    <s v="U.S."/>
    <x v="3"/>
    <s v="Mobile"/>
    <x v="2"/>
    <s v="Laptop"/>
    <x v="1"/>
    <m/>
    <s v="Unknown"/>
    <m/>
    <x v="7"/>
    <s v="$"/>
    <s v="USD"/>
    <s v="Delivered"/>
    <x v="1"/>
    <n v="1"/>
    <x v="4"/>
    <m/>
  </r>
  <r>
    <m/>
    <x v="1"/>
    <s v="09-25-2024"/>
    <s v=""/>
    <s v="Cust. 194"/>
    <s v="Customer 194"/>
    <s v="Asia"/>
    <x v="1"/>
    <s v="Mobile"/>
    <x v="2"/>
    <s v="Laptop"/>
    <x v="1"/>
    <n v="3"/>
    <n v="3"/>
    <s v="489.25 EUR"/>
    <x v="146"/>
    <s v="$"/>
    <s v="USD"/>
    <s v="RETURNED"/>
    <x v="2"/>
    <s v="five"/>
    <x v="0"/>
    <s v="late delivery"/>
  </r>
  <r>
    <m/>
    <x v="1"/>
    <s v="2024-12-22"/>
    <d v="2024-12-22T00:00:00"/>
    <s v="Customer 195"/>
    <s v="Customer 195"/>
    <s v="europe"/>
    <x v="2"/>
    <s v="Mobile"/>
    <x v="2"/>
    <s v="phone"/>
    <x v="2"/>
    <m/>
    <s v="Unknown"/>
    <n v="716.28"/>
    <x v="147"/>
    <s v="$"/>
    <s v="USD"/>
    <s v="Delivered"/>
    <x v="1"/>
    <m/>
    <x v="3"/>
    <m/>
  </r>
  <r>
    <s v="ORD-1196"/>
    <x v="120"/>
    <s v="12-25-2024"/>
    <s v=""/>
    <s v="Customer 196"/>
    <s v="Customer 196"/>
    <s v="U.S."/>
    <x v="3"/>
    <s v="Online"/>
    <x v="0"/>
    <s v="Lapotp"/>
    <x v="1"/>
    <n v="2"/>
    <n v="2"/>
    <m/>
    <x v="7"/>
    <m/>
    <s v="Unknown"/>
    <s v="RETURNED"/>
    <x v="2"/>
    <n v="3"/>
    <x v="1"/>
    <m/>
  </r>
  <r>
    <m/>
    <x v="1"/>
    <s v="2024-02-08"/>
    <d v="2024-02-08T00:00:00"/>
    <s v="customer 197"/>
    <s v="Customer 197"/>
    <m/>
    <x v="0"/>
    <s v="Mobile"/>
    <x v="2"/>
    <s v="Laptop"/>
    <x v="1"/>
    <n v="2"/>
    <n v="2"/>
    <s v="$2069.06"/>
    <x v="148"/>
    <m/>
    <s v="Unknown"/>
    <s v="Delivered"/>
    <x v="1"/>
    <m/>
    <x v="3"/>
    <m/>
  </r>
  <r>
    <m/>
    <x v="1"/>
    <m/>
    <s v=""/>
    <s v="Cust. 198"/>
    <s v="Customer 198"/>
    <s v="europe"/>
    <x v="2"/>
    <m/>
    <x v="1"/>
    <s v="Lapotp"/>
    <x v="1"/>
    <n v="1"/>
    <n v="1"/>
    <s v="932.87 EUR"/>
    <x v="149"/>
    <m/>
    <s v="Unknown"/>
    <m/>
    <x v="3"/>
    <n v="3"/>
    <x v="1"/>
    <m/>
  </r>
  <r>
    <s v="ORD-1199"/>
    <x v="121"/>
    <m/>
    <s v=""/>
    <s v="Cust. 199"/>
    <s v="Customer 199"/>
    <s v="EU"/>
    <x v="2"/>
    <m/>
    <x v="1"/>
    <s v="phone"/>
    <x v="2"/>
    <s v="two"/>
    <n v="2"/>
    <n v="1339.41"/>
    <x v="150"/>
    <s v="$"/>
    <s v="USD"/>
    <s v="Delivered"/>
    <x v="1"/>
    <n v="3"/>
    <x v="1"/>
    <m/>
  </r>
  <r>
    <n v="1200"/>
    <x v="122"/>
    <s v="08-09-2024"/>
    <d v="2024-09-08T00:00:00"/>
    <s v="customer 200"/>
    <s v="Customer 200"/>
    <m/>
    <x v="0"/>
    <s v="Online"/>
    <x v="0"/>
    <s v="Laptop"/>
    <x v="1"/>
    <n v="3"/>
    <n v="3"/>
    <m/>
    <x v="7"/>
    <s v="USD"/>
    <s v="USD"/>
    <s v="RETURNED"/>
    <x v="2"/>
    <m/>
    <x v="3"/>
    <s v="late delivery"/>
  </r>
  <r>
    <n v="1201"/>
    <x v="123"/>
    <s v="2025-01-13"/>
    <d v="2025-01-13T00:00:00"/>
    <s v="Customer 201"/>
    <s v="Customer 201"/>
    <s v="Asia"/>
    <x v="1"/>
    <s v="Mobile"/>
    <x v="2"/>
    <s v="phone"/>
    <x v="2"/>
    <n v="3"/>
    <n v="3"/>
    <s v="$1199.38"/>
    <x v="151"/>
    <s v="EUR"/>
    <s v="EUR"/>
    <s v="Delivered"/>
    <x v="1"/>
    <n v="1"/>
    <x v="4"/>
    <s v="late delivery"/>
  </r>
  <r>
    <n v="1202"/>
    <x v="124"/>
    <s v="2024-08-08"/>
    <d v="2024-08-08T00:00:00"/>
    <s v="Customer 202"/>
    <s v="Customer 202"/>
    <s v="Asia"/>
    <x v="1"/>
    <s v="Web"/>
    <x v="0"/>
    <s v="Laptop"/>
    <x v="1"/>
    <m/>
    <s v="Unknown"/>
    <m/>
    <x v="7"/>
    <m/>
    <s v="Unknown"/>
    <s v="RETURNED"/>
    <x v="2"/>
    <n v="5"/>
    <x v="0"/>
    <m/>
  </r>
  <r>
    <m/>
    <x v="1"/>
    <s v="29/05/2024"/>
    <d v="2024-05-29T00:00:00"/>
    <s v="customer 203"/>
    <s v="Customer 203"/>
    <m/>
    <x v="0"/>
    <s v="Mobile"/>
    <x v="2"/>
    <s v="Lapotp"/>
    <x v="1"/>
    <n v="2"/>
    <n v="2"/>
    <n v="1270.74"/>
    <x v="152"/>
    <s v="€"/>
    <s v="EUR"/>
    <s v="RETURNED"/>
    <x v="2"/>
    <n v="3"/>
    <x v="1"/>
    <m/>
  </r>
  <r>
    <s v="ORD-1204"/>
    <x v="125"/>
    <m/>
    <s v=""/>
    <s v="Cust. 204"/>
    <s v="Customer 204"/>
    <s v="europe"/>
    <x v="2"/>
    <s v="Online"/>
    <x v="0"/>
    <s v="phone"/>
    <x v="2"/>
    <n v="3"/>
    <n v="3"/>
    <m/>
    <x v="7"/>
    <s v="USD"/>
    <s v="USD"/>
    <m/>
    <x v="3"/>
    <m/>
    <x v="3"/>
    <m/>
  </r>
  <r>
    <n v="1205"/>
    <x v="126"/>
    <s v="31/10/2024"/>
    <d v="2024-10-31T00:00:00"/>
    <s v="Cust. 205"/>
    <s v="Customer 205"/>
    <s v="EU"/>
    <x v="2"/>
    <s v="Mobile"/>
    <x v="2"/>
    <s v="phone"/>
    <x v="2"/>
    <m/>
    <s v="Unknown"/>
    <m/>
    <x v="7"/>
    <s v="$"/>
    <s v="USD"/>
    <s v="RETURNED"/>
    <x v="2"/>
    <n v="5"/>
    <x v="0"/>
    <s v="VIP"/>
  </r>
  <r>
    <s v="ORD-1206"/>
    <x v="127"/>
    <s v="08-08-2024"/>
    <d v="2024-08-08T00:00:00"/>
    <s v="customer 206"/>
    <s v="Customer 206"/>
    <s v="europe"/>
    <x v="2"/>
    <s v="Mobile"/>
    <x v="2"/>
    <s v="Lapotp"/>
    <x v="1"/>
    <s v="two"/>
    <n v="2"/>
    <s v="2455.65 EUR"/>
    <x v="153"/>
    <s v="€"/>
    <s v="EUR"/>
    <s v="RETURNED"/>
    <x v="2"/>
    <m/>
    <x v="3"/>
    <m/>
  </r>
  <r>
    <s v="ORD-1207"/>
    <x v="128"/>
    <s v="10-21-2024"/>
    <s v=""/>
    <m/>
    <s v="Unknown Customer"/>
    <s v="Asia"/>
    <x v="1"/>
    <s v="Online"/>
    <x v="0"/>
    <s v="TABLET"/>
    <x v="0"/>
    <n v="2"/>
    <n v="2"/>
    <s v="$2356.82"/>
    <x v="154"/>
    <m/>
    <s v="Unknown"/>
    <s v="pending"/>
    <x v="0"/>
    <n v="2"/>
    <x v="2"/>
    <m/>
  </r>
  <r>
    <s v="ORD-1208"/>
    <x v="129"/>
    <s v="01-07-2025"/>
    <d v="2025-07-01T00:00:00"/>
    <s v="Customer 208"/>
    <s v="Customer 208"/>
    <m/>
    <x v="0"/>
    <s v="Mobile"/>
    <x v="2"/>
    <s v="TABLET"/>
    <x v="0"/>
    <s v="two"/>
    <n v="2"/>
    <s v="1411.79 EUR"/>
    <x v="155"/>
    <s v="USD"/>
    <s v="USD"/>
    <m/>
    <x v="3"/>
    <n v="3"/>
    <x v="1"/>
    <s v="late delivery"/>
  </r>
  <r>
    <s v="ORD-1209"/>
    <x v="130"/>
    <s v="2024-05-09"/>
    <d v="2024-05-09T00:00:00"/>
    <m/>
    <s v="Unknown Customer"/>
    <s v="U.S."/>
    <x v="3"/>
    <s v="Mobile"/>
    <x v="2"/>
    <s v="TABLET"/>
    <x v="0"/>
    <s v="two"/>
    <n v="2"/>
    <m/>
    <x v="7"/>
    <m/>
    <s v="Unknown"/>
    <s v="pending"/>
    <x v="0"/>
    <m/>
    <x v="3"/>
    <m/>
  </r>
  <r>
    <m/>
    <x v="1"/>
    <s v="2024-10-05"/>
    <d v="2024-10-05T00:00:00"/>
    <s v="Customer 210"/>
    <s v="Customer 210"/>
    <m/>
    <x v="0"/>
    <s v="Online"/>
    <x v="0"/>
    <s v="TABLET"/>
    <x v="0"/>
    <n v="3"/>
    <n v="3"/>
    <s v="$158.46"/>
    <x v="156"/>
    <s v="USD"/>
    <s v="USD"/>
    <m/>
    <x v="3"/>
    <s v="five"/>
    <x v="0"/>
    <m/>
  </r>
  <r>
    <s v="ORD-1211"/>
    <x v="131"/>
    <m/>
    <s v=""/>
    <s v="Customer 211"/>
    <s v="Customer 211"/>
    <s v="EU"/>
    <x v="2"/>
    <s v="Online"/>
    <x v="0"/>
    <s v="phone"/>
    <x v="2"/>
    <n v="2"/>
    <n v="2"/>
    <m/>
    <x v="7"/>
    <m/>
    <s v="Unknown"/>
    <m/>
    <x v="3"/>
    <s v="five"/>
    <x v="0"/>
    <s v="late delivery"/>
  </r>
  <r>
    <m/>
    <x v="1"/>
    <s v="16/08/2024"/>
    <d v="2024-08-16T00:00:00"/>
    <s v="Cust. 212"/>
    <s v="Customer 212"/>
    <s v="EU"/>
    <x v="2"/>
    <s v="Mobile"/>
    <x v="2"/>
    <s v="Laptop"/>
    <x v="1"/>
    <n v="3"/>
    <n v="3"/>
    <m/>
    <x v="7"/>
    <s v="$"/>
    <s v="USD"/>
    <s v="Delivered"/>
    <x v="1"/>
    <n v="1"/>
    <x v="4"/>
    <s v="late delivery"/>
  </r>
  <r>
    <n v="1213"/>
    <x v="132"/>
    <m/>
    <s v=""/>
    <s v="Cust. 213"/>
    <s v="Customer 213"/>
    <s v="europe"/>
    <x v="2"/>
    <s v="Online"/>
    <x v="0"/>
    <s v="phone"/>
    <x v="2"/>
    <s v="two"/>
    <n v="2"/>
    <m/>
    <x v="7"/>
    <s v="€"/>
    <s v="EUR"/>
    <s v="Delivered"/>
    <x v="1"/>
    <n v="3"/>
    <x v="1"/>
    <m/>
  </r>
  <r>
    <s v="ORD-1214"/>
    <x v="133"/>
    <s v="2025-02-18"/>
    <d v="2025-02-18T00:00:00"/>
    <s v="customer 214"/>
    <s v="Customer 214"/>
    <m/>
    <x v="0"/>
    <s v="Online"/>
    <x v="0"/>
    <s v="TABLET"/>
    <x v="0"/>
    <n v="2"/>
    <n v="2"/>
    <n v="2146.8000000000002"/>
    <x v="157"/>
    <m/>
    <s v="Unknown"/>
    <s v="Delivered"/>
    <x v="1"/>
    <n v="3"/>
    <x v="1"/>
    <m/>
  </r>
  <r>
    <m/>
    <x v="1"/>
    <s v="24/08/2024"/>
    <d v="2024-08-24T00:00:00"/>
    <s v="customer 215"/>
    <s v="Customer 215"/>
    <m/>
    <x v="0"/>
    <m/>
    <x v="1"/>
    <s v="phone"/>
    <x v="2"/>
    <s v="two"/>
    <n v="2"/>
    <m/>
    <x v="7"/>
    <s v="EUR"/>
    <s v="EUR"/>
    <m/>
    <x v="3"/>
    <s v="five"/>
    <x v="0"/>
    <s v="late delivery"/>
  </r>
  <r>
    <n v="1216"/>
    <x v="134"/>
    <s v="18/08/2024"/>
    <d v="2024-08-18T00:00:00"/>
    <s v="customer 216"/>
    <s v="Customer 216"/>
    <s v="Asia"/>
    <x v="1"/>
    <m/>
    <x v="1"/>
    <m/>
    <x v="3"/>
    <n v="1"/>
    <n v="1"/>
    <m/>
    <x v="7"/>
    <m/>
    <s v="Unknown"/>
    <s v="Delivered"/>
    <x v="1"/>
    <s v="five"/>
    <x v="0"/>
    <s v="late delivery"/>
  </r>
  <r>
    <n v="1217"/>
    <x v="135"/>
    <s v="07-06-2024"/>
    <d v="2024-06-07T00:00:00"/>
    <m/>
    <s v="Unknown Customer"/>
    <s v="U.S."/>
    <x v="3"/>
    <m/>
    <x v="1"/>
    <s v="phone"/>
    <x v="2"/>
    <m/>
    <s v="Unknown"/>
    <m/>
    <x v="7"/>
    <s v="$"/>
    <s v="USD"/>
    <s v="pending"/>
    <x v="0"/>
    <n v="5"/>
    <x v="0"/>
    <m/>
  </r>
  <r>
    <m/>
    <x v="1"/>
    <s v="27/06/2024"/>
    <d v="2024-06-27T00:00:00"/>
    <s v="Cust. 218"/>
    <s v="Customer 218"/>
    <s v="U.S."/>
    <x v="3"/>
    <s v="Web"/>
    <x v="0"/>
    <s v="Laptop"/>
    <x v="1"/>
    <n v="2"/>
    <n v="2"/>
    <m/>
    <x v="7"/>
    <s v="€"/>
    <s v="EUR"/>
    <s v="Delivered"/>
    <x v="1"/>
    <n v="2"/>
    <x v="2"/>
    <s v="VIP"/>
  </r>
  <r>
    <m/>
    <x v="1"/>
    <m/>
    <s v=""/>
    <m/>
    <s v="Unknown Customer"/>
    <s v="U.S."/>
    <x v="3"/>
    <s v="Online"/>
    <x v="0"/>
    <s v="TABLET"/>
    <x v="0"/>
    <s v="two"/>
    <n v="2"/>
    <s v="589.98 EUR"/>
    <x v="158"/>
    <s v="$"/>
    <s v="USD"/>
    <s v="Delivered"/>
    <x v="1"/>
    <n v="5"/>
    <x v="0"/>
    <s v="late delivery"/>
  </r>
  <r>
    <n v="1220"/>
    <x v="136"/>
    <s v="11/10/2024"/>
    <d v="2024-10-11T00:00:00"/>
    <s v="Cust. 220"/>
    <s v="Customer 220"/>
    <m/>
    <x v="0"/>
    <s v="Mobile"/>
    <x v="2"/>
    <s v="TABLET"/>
    <x v="0"/>
    <n v="1"/>
    <n v="1"/>
    <s v="$542.25"/>
    <x v="159"/>
    <s v="€"/>
    <s v="EUR"/>
    <s v="Delivered"/>
    <x v="1"/>
    <n v="5"/>
    <x v="0"/>
    <s v="late delivery"/>
  </r>
  <r>
    <s v="ORD-1221"/>
    <x v="137"/>
    <m/>
    <s v=""/>
    <m/>
    <s v="Unknown Customer"/>
    <m/>
    <x v="0"/>
    <s v="Mobile"/>
    <x v="2"/>
    <s v="phone"/>
    <x v="2"/>
    <n v="2"/>
    <n v="2"/>
    <m/>
    <x v="7"/>
    <s v="EUR"/>
    <s v="EUR"/>
    <s v="pending"/>
    <x v="0"/>
    <n v="1"/>
    <x v="4"/>
    <s v="late delivery"/>
  </r>
  <r>
    <m/>
    <x v="1"/>
    <s v="05-29-2024"/>
    <s v=""/>
    <s v="customer 222"/>
    <s v="Customer 222"/>
    <m/>
    <x v="0"/>
    <s v="Mobile"/>
    <x v="2"/>
    <s v="TABLET"/>
    <x v="0"/>
    <s v="two"/>
    <n v="2"/>
    <s v="146.45 EUR"/>
    <x v="160"/>
    <m/>
    <s v="Unknown"/>
    <s v="pending"/>
    <x v="0"/>
    <n v="1"/>
    <x v="4"/>
    <m/>
  </r>
  <r>
    <m/>
    <x v="1"/>
    <s v="2024-05-17"/>
    <d v="2024-05-17T00:00:00"/>
    <m/>
    <s v="Unknown Customer"/>
    <s v="U.S."/>
    <x v="3"/>
    <s v="Online"/>
    <x v="0"/>
    <s v="phone"/>
    <x v="2"/>
    <n v="1"/>
    <n v="1"/>
    <s v="$2336.58"/>
    <x v="161"/>
    <s v="USD"/>
    <s v="USD"/>
    <s v="RETURNED"/>
    <x v="2"/>
    <n v="1"/>
    <x v="4"/>
    <m/>
  </r>
  <r>
    <s v="ORD-1224"/>
    <x v="138"/>
    <s v="2024-05-14"/>
    <d v="2024-05-14T00:00:00"/>
    <s v="customer 224"/>
    <s v="Customer 224"/>
    <s v="US"/>
    <x v="3"/>
    <m/>
    <x v="1"/>
    <s v="TABLET"/>
    <x v="0"/>
    <n v="3"/>
    <n v="3"/>
    <n v="1078.3"/>
    <x v="162"/>
    <m/>
    <s v="Unknown"/>
    <m/>
    <x v="3"/>
    <n v="5"/>
    <x v="0"/>
    <s v="late delivery"/>
  </r>
  <r>
    <n v="1225"/>
    <x v="139"/>
    <s v="2024-11-11"/>
    <d v="2024-11-11T00:00:00"/>
    <s v="Cust. 225"/>
    <s v="Customer 225"/>
    <s v="U.S."/>
    <x v="3"/>
    <s v="Mobile"/>
    <x v="2"/>
    <s v="TABLET"/>
    <x v="0"/>
    <m/>
    <s v="Unknown"/>
    <s v="460.74 EUR"/>
    <x v="163"/>
    <s v="USD"/>
    <s v="USD"/>
    <s v="RETURNED"/>
    <x v="2"/>
    <m/>
    <x v="3"/>
    <s v="VIP"/>
  </r>
  <r>
    <n v="1226"/>
    <x v="140"/>
    <m/>
    <s v=""/>
    <s v="Customer 226"/>
    <s v="Customer 226"/>
    <s v="Asia"/>
    <x v="1"/>
    <m/>
    <x v="1"/>
    <s v="Lapotp"/>
    <x v="1"/>
    <n v="2"/>
    <n v="2"/>
    <n v="1739.57"/>
    <x v="164"/>
    <s v="USD"/>
    <s v="USD"/>
    <s v="Delivered"/>
    <x v="1"/>
    <m/>
    <x v="3"/>
    <s v="VIP"/>
  </r>
  <r>
    <s v="ORD-1227"/>
    <x v="141"/>
    <s v="06/05/2024"/>
    <d v="2024-05-06T00:00:00"/>
    <s v="Cust. 227"/>
    <s v="Customer 227"/>
    <m/>
    <x v="0"/>
    <s v="Mobile"/>
    <x v="2"/>
    <s v="phone"/>
    <x v="2"/>
    <s v="two"/>
    <n v="2"/>
    <m/>
    <x v="7"/>
    <s v="EUR"/>
    <s v="EUR"/>
    <m/>
    <x v="3"/>
    <n v="1"/>
    <x v="4"/>
    <m/>
  </r>
  <r>
    <s v="ORD-1228"/>
    <x v="142"/>
    <m/>
    <s v=""/>
    <s v="Cust. 228"/>
    <s v="Customer 228"/>
    <s v="U.S."/>
    <x v="3"/>
    <s v="Online"/>
    <x v="0"/>
    <m/>
    <x v="3"/>
    <n v="1"/>
    <n v="1"/>
    <s v="$2261.92"/>
    <x v="165"/>
    <s v="$"/>
    <s v="USD"/>
    <m/>
    <x v="3"/>
    <m/>
    <x v="3"/>
    <s v="VIP"/>
  </r>
  <r>
    <n v="1229"/>
    <x v="143"/>
    <m/>
    <s v=""/>
    <s v="customer 229"/>
    <s v="Customer 229"/>
    <s v="europe"/>
    <x v="2"/>
    <s v="Mobile"/>
    <x v="2"/>
    <s v="phone"/>
    <x v="2"/>
    <n v="3"/>
    <n v="3"/>
    <m/>
    <x v="7"/>
    <s v="€"/>
    <s v="EUR"/>
    <s v="pending"/>
    <x v="0"/>
    <s v="five"/>
    <x v="0"/>
    <s v="late delivery"/>
  </r>
  <r>
    <m/>
    <x v="1"/>
    <s v="2024-10-16"/>
    <d v="2024-10-16T00:00:00"/>
    <s v="Customer 230"/>
    <s v="Customer 230"/>
    <s v="EU"/>
    <x v="2"/>
    <m/>
    <x v="1"/>
    <m/>
    <x v="3"/>
    <s v="two"/>
    <n v="2"/>
    <s v="$2564.65"/>
    <x v="166"/>
    <s v="EUR"/>
    <s v="EUR"/>
    <s v="Delivered"/>
    <x v="1"/>
    <n v="2"/>
    <x v="2"/>
    <m/>
  </r>
  <r>
    <n v="1231"/>
    <x v="144"/>
    <s v="21/08/2024"/>
    <d v="2024-08-21T00:00:00"/>
    <s v="Cust. 231"/>
    <s v="Customer 231"/>
    <s v="US"/>
    <x v="3"/>
    <s v="Mobile"/>
    <x v="2"/>
    <s v="Laptop"/>
    <x v="1"/>
    <n v="3"/>
    <n v="3"/>
    <m/>
    <x v="7"/>
    <s v="€"/>
    <s v="EUR"/>
    <s v="Delivered"/>
    <x v="1"/>
    <n v="3"/>
    <x v="1"/>
    <s v="late delivery"/>
  </r>
  <r>
    <m/>
    <x v="1"/>
    <s v="27/01/2024"/>
    <d v="2024-01-27T00:00:00"/>
    <m/>
    <s v="Unknown Customer"/>
    <m/>
    <x v="0"/>
    <s v="Online"/>
    <x v="0"/>
    <s v="TABLET"/>
    <x v="0"/>
    <n v="1"/>
    <n v="1"/>
    <s v="$1219.21"/>
    <x v="167"/>
    <s v="EUR"/>
    <s v="EUR"/>
    <s v="Delivered"/>
    <x v="1"/>
    <n v="5"/>
    <x v="0"/>
    <m/>
  </r>
  <r>
    <n v="1233"/>
    <x v="145"/>
    <s v="2024-03-08"/>
    <d v="2024-03-08T00:00:00"/>
    <s v="Cust. 233"/>
    <s v="Customer 233"/>
    <m/>
    <x v="0"/>
    <s v="Online"/>
    <x v="0"/>
    <m/>
    <x v="3"/>
    <s v="two"/>
    <n v="2"/>
    <m/>
    <x v="7"/>
    <s v="USD"/>
    <s v="USD"/>
    <s v="RETURNED"/>
    <x v="2"/>
    <n v="1"/>
    <x v="4"/>
    <s v="late delivery"/>
  </r>
  <r>
    <n v="1234"/>
    <x v="146"/>
    <s v="07-15-2024"/>
    <s v=""/>
    <s v="Cust. 234"/>
    <s v="Customer 234"/>
    <s v="Asia"/>
    <x v="1"/>
    <s v="Online"/>
    <x v="0"/>
    <s v="phone"/>
    <x v="2"/>
    <n v="2"/>
    <n v="2"/>
    <n v="313.52999999999997"/>
    <x v="168"/>
    <s v="USD"/>
    <s v="USD"/>
    <s v="Delivered"/>
    <x v="1"/>
    <s v="five"/>
    <x v="0"/>
    <m/>
  </r>
  <r>
    <s v="ORD-1235"/>
    <x v="147"/>
    <s v="08/11/2024"/>
    <d v="2024-11-08T00:00:00"/>
    <s v="customer 235"/>
    <s v="Customer 235"/>
    <s v="europe"/>
    <x v="2"/>
    <s v="Web"/>
    <x v="0"/>
    <s v="TABLET"/>
    <x v="0"/>
    <s v="two"/>
    <n v="2"/>
    <m/>
    <x v="7"/>
    <s v="USD"/>
    <s v="USD"/>
    <s v="Delivered"/>
    <x v="1"/>
    <n v="1"/>
    <x v="4"/>
    <s v="late delivery"/>
  </r>
  <r>
    <s v="ORD-1236"/>
    <x v="148"/>
    <m/>
    <s v=""/>
    <s v="Cust. 236"/>
    <s v="Customer 236"/>
    <m/>
    <x v="0"/>
    <s v="Online"/>
    <x v="0"/>
    <s v="Lapotp"/>
    <x v="1"/>
    <n v="3"/>
    <n v="3"/>
    <m/>
    <x v="7"/>
    <s v="EUR"/>
    <s v="EUR"/>
    <s v="Delivered"/>
    <x v="1"/>
    <s v="five"/>
    <x v="0"/>
    <s v="VIP"/>
  </r>
  <r>
    <m/>
    <x v="1"/>
    <s v="02-02-2025"/>
    <d v="2025-02-02T00:00:00"/>
    <s v="customer 237"/>
    <s v="Customer 237"/>
    <s v="U.S."/>
    <x v="3"/>
    <s v="Web"/>
    <x v="0"/>
    <s v="TABLET"/>
    <x v="0"/>
    <n v="2"/>
    <n v="2"/>
    <n v="2826.77"/>
    <x v="169"/>
    <s v="$"/>
    <s v="USD"/>
    <s v="RETURNED"/>
    <x v="2"/>
    <m/>
    <x v="3"/>
    <m/>
  </r>
  <r>
    <s v="ORD-1238"/>
    <x v="149"/>
    <m/>
    <s v=""/>
    <s v="Customer 238"/>
    <s v="Customer 238"/>
    <s v="US"/>
    <x v="3"/>
    <s v="Mobile"/>
    <x v="2"/>
    <s v="TABLET"/>
    <x v="0"/>
    <m/>
    <s v="Unknown"/>
    <s v="2698.84 EUR"/>
    <x v="170"/>
    <s v="EUR"/>
    <s v="EUR"/>
    <s v="pending"/>
    <x v="0"/>
    <n v="1"/>
    <x v="4"/>
    <s v="VIP"/>
  </r>
  <r>
    <s v="ORD-1239"/>
    <x v="150"/>
    <s v="11/06/2024"/>
    <d v="2024-06-11T00:00:00"/>
    <m/>
    <s v="Unknown Customer"/>
    <m/>
    <x v="0"/>
    <s v="Online"/>
    <x v="0"/>
    <s v="Laptop"/>
    <x v="1"/>
    <m/>
    <s v="Unknown"/>
    <m/>
    <x v="7"/>
    <s v="EUR"/>
    <s v="EUR"/>
    <s v="Delivered"/>
    <x v="1"/>
    <n v="3"/>
    <x v="1"/>
    <s v="late delivery"/>
  </r>
  <r>
    <m/>
    <x v="1"/>
    <s v="01-21-2024"/>
    <s v=""/>
    <m/>
    <s v="Unknown Customer"/>
    <s v="europe"/>
    <x v="2"/>
    <m/>
    <x v="1"/>
    <s v="phone"/>
    <x v="2"/>
    <n v="1"/>
    <n v="1"/>
    <m/>
    <x v="7"/>
    <m/>
    <s v="Unknown"/>
    <s v="pending"/>
    <x v="0"/>
    <s v="five"/>
    <x v="0"/>
    <s v="late delivery"/>
  </r>
  <r>
    <m/>
    <x v="1"/>
    <s v="22/05/2024"/>
    <d v="2024-05-22T00:00:00"/>
    <s v="customer 241"/>
    <s v="Customer 241"/>
    <s v="U.S."/>
    <x v="3"/>
    <s v="Mobile"/>
    <x v="2"/>
    <s v="phone"/>
    <x v="2"/>
    <m/>
    <s v="Unknown"/>
    <n v="296.61"/>
    <x v="171"/>
    <s v="EUR"/>
    <s v="EUR"/>
    <s v="RETURNED"/>
    <x v="2"/>
    <m/>
    <x v="3"/>
    <m/>
  </r>
  <r>
    <n v="1242"/>
    <x v="151"/>
    <s v="08/01/2025"/>
    <d v="2025-01-08T00:00:00"/>
    <s v="Customer 242"/>
    <s v="Customer 242"/>
    <s v="europe"/>
    <x v="2"/>
    <s v="Online"/>
    <x v="0"/>
    <s v="phone"/>
    <x v="2"/>
    <m/>
    <s v="Unknown"/>
    <s v="2862.61 EUR"/>
    <x v="172"/>
    <m/>
    <s v="Unknown"/>
    <s v="Delivered"/>
    <x v="1"/>
    <n v="3"/>
    <x v="1"/>
    <s v="late delivery"/>
  </r>
  <r>
    <m/>
    <x v="1"/>
    <s v="2024-03-02"/>
    <d v="2024-03-02T00:00:00"/>
    <s v="customer 243"/>
    <s v="Customer 243"/>
    <s v="europe"/>
    <x v="2"/>
    <s v="Mobile"/>
    <x v="2"/>
    <s v="TABLET"/>
    <x v="0"/>
    <m/>
    <s v="Unknown"/>
    <s v="87.36 EUR"/>
    <x v="173"/>
    <s v="€"/>
    <s v="EUR"/>
    <s v="Delivered"/>
    <x v="1"/>
    <n v="3"/>
    <x v="1"/>
    <s v="late delivery"/>
  </r>
  <r>
    <m/>
    <x v="1"/>
    <s v="2025-01-18"/>
    <d v="2025-01-18T00:00:00"/>
    <s v="Customer 244"/>
    <s v="Customer 244"/>
    <s v="Asia"/>
    <x v="1"/>
    <s v="Mobile"/>
    <x v="2"/>
    <s v="phone"/>
    <x v="2"/>
    <m/>
    <s v="Unknown"/>
    <s v="$2354.32"/>
    <x v="174"/>
    <s v="EUR"/>
    <s v="EUR"/>
    <s v="RETURNED"/>
    <x v="2"/>
    <m/>
    <x v="3"/>
    <m/>
  </r>
  <r>
    <n v="1245"/>
    <x v="152"/>
    <m/>
    <s v=""/>
    <s v="customer 245"/>
    <s v="Customer 245"/>
    <s v="Asia"/>
    <x v="1"/>
    <s v="Online"/>
    <x v="0"/>
    <s v="phone"/>
    <x v="2"/>
    <n v="1"/>
    <n v="1"/>
    <s v="$1392.83"/>
    <x v="175"/>
    <m/>
    <s v="Unknown"/>
    <m/>
    <x v="3"/>
    <m/>
    <x v="3"/>
    <m/>
  </r>
  <r>
    <n v="1246"/>
    <x v="153"/>
    <s v="2024-04-26"/>
    <d v="2024-04-26T00:00:00"/>
    <s v="customer 246"/>
    <s v="Customer 246"/>
    <s v="EU"/>
    <x v="2"/>
    <s v="Mobile"/>
    <x v="2"/>
    <s v="phone"/>
    <x v="2"/>
    <s v="two"/>
    <n v="2"/>
    <n v="2235.3000000000002"/>
    <x v="176"/>
    <s v="USD"/>
    <s v="USD"/>
    <s v="Delivered"/>
    <x v="1"/>
    <n v="1"/>
    <x v="4"/>
    <m/>
  </r>
  <r>
    <m/>
    <x v="1"/>
    <s v="04-24-2024"/>
    <s v=""/>
    <s v="Cust. 247"/>
    <s v="Customer 247"/>
    <m/>
    <x v="0"/>
    <s v="Online"/>
    <x v="0"/>
    <s v="TABLET"/>
    <x v="0"/>
    <n v="3"/>
    <n v="3"/>
    <m/>
    <x v="7"/>
    <s v="EUR"/>
    <s v="EUR"/>
    <s v="pending"/>
    <x v="0"/>
    <m/>
    <x v="3"/>
    <m/>
  </r>
  <r>
    <s v="ORD-1248"/>
    <x v="154"/>
    <s v="2024-04-01"/>
    <d v="2024-04-01T00:00:00"/>
    <m/>
    <s v="Unknown Customer"/>
    <m/>
    <x v="0"/>
    <s v="Mobile"/>
    <x v="2"/>
    <m/>
    <x v="3"/>
    <n v="3"/>
    <n v="3"/>
    <n v="708.4"/>
    <x v="177"/>
    <s v="€"/>
    <s v="EUR"/>
    <s v="Delivered"/>
    <x v="1"/>
    <s v="five"/>
    <x v="0"/>
    <m/>
  </r>
  <r>
    <m/>
    <x v="1"/>
    <s v="01-05-2024"/>
    <d v="2024-05-01T00:00:00"/>
    <s v="customer 249"/>
    <s v="Customer 249"/>
    <s v="europe"/>
    <x v="2"/>
    <s v="Mobile"/>
    <x v="2"/>
    <s v="TABLET"/>
    <x v="0"/>
    <s v="two"/>
    <n v="2"/>
    <s v="$1138.31"/>
    <x v="178"/>
    <s v="USD"/>
    <s v="USD"/>
    <m/>
    <x v="3"/>
    <s v="five"/>
    <x v="0"/>
    <s v="late delivery"/>
  </r>
  <r>
    <n v="1250"/>
    <x v="155"/>
    <s v="18/03/2024"/>
    <d v="2024-03-18T00:00:00"/>
    <s v="Cust. 250"/>
    <s v="Customer 250"/>
    <m/>
    <x v="0"/>
    <m/>
    <x v="1"/>
    <s v="Laptop"/>
    <x v="1"/>
    <n v="3"/>
    <n v="3"/>
    <m/>
    <x v="7"/>
    <s v="EUR"/>
    <s v="EUR"/>
    <m/>
    <x v="3"/>
    <n v="5"/>
    <x v="0"/>
    <s v="VIP"/>
  </r>
  <r>
    <s v="ORD-1251"/>
    <x v="156"/>
    <m/>
    <s v=""/>
    <s v="Customer 251"/>
    <s v="Customer 251"/>
    <s v="US"/>
    <x v="3"/>
    <m/>
    <x v="1"/>
    <s v="phone"/>
    <x v="2"/>
    <n v="1"/>
    <n v="1"/>
    <s v="655.32 EUR"/>
    <x v="179"/>
    <s v="EUR"/>
    <s v="EUR"/>
    <s v="Delivered"/>
    <x v="1"/>
    <s v="five"/>
    <x v="0"/>
    <m/>
  </r>
  <r>
    <m/>
    <x v="1"/>
    <s v="2024-12-24"/>
    <d v="2024-12-24T00:00:00"/>
    <s v="Customer 252"/>
    <s v="Customer 252"/>
    <s v="U.S."/>
    <x v="3"/>
    <s v="Online"/>
    <x v="0"/>
    <s v="TABLET"/>
    <x v="0"/>
    <s v="two"/>
    <n v="2"/>
    <m/>
    <x v="7"/>
    <s v="EUR"/>
    <s v="EUR"/>
    <s v="pending"/>
    <x v="0"/>
    <s v="five"/>
    <x v="0"/>
    <m/>
  </r>
  <r>
    <n v="1253"/>
    <x v="157"/>
    <s v="08-10-2024"/>
    <d v="2024-10-08T00:00:00"/>
    <s v="Cust. 253"/>
    <s v="Customer 253"/>
    <m/>
    <x v="0"/>
    <s v="Mobile"/>
    <x v="2"/>
    <m/>
    <x v="3"/>
    <s v="two"/>
    <n v="2"/>
    <s v="2004.21 EUR"/>
    <x v="180"/>
    <s v="€"/>
    <s v="EUR"/>
    <s v="RETURNED"/>
    <x v="2"/>
    <n v="5"/>
    <x v="0"/>
    <s v="VIP"/>
  </r>
  <r>
    <n v="1254"/>
    <x v="158"/>
    <s v="2024-04-29"/>
    <d v="2024-04-29T00:00:00"/>
    <s v="customer 254"/>
    <s v="Customer 254"/>
    <s v="EU"/>
    <x v="2"/>
    <s v="Online"/>
    <x v="0"/>
    <s v="phone"/>
    <x v="2"/>
    <s v="two"/>
    <n v="2"/>
    <s v="270.33 EUR"/>
    <x v="181"/>
    <s v="€"/>
    <s v="EUR"/>
    <s v="RETURNED"/>
    <x v="2"/>
    <n v="1"/>
    <x v="4"/>
    <s v="VIP"/>
  </r>
  <r>
    <s v="ORD-1255"/>
    <x v="159"/>
    <s v="01-29-2025"/>
    <s v=""/>
    <s v="Customer 255"/>
    <s v="Customer 255"/>
    <s v="EU"/>
    <x v="2"/>
    <s v="Online"/>
    <x v="0"/>
    <m/>
    <x v="3"/>
    <n v="3"/>
    <n v="3"/>
    <s v="$662.53"/>
    <x v="182"/>
    <m/>
    <s v="Unknown"/>
    <s v="Delivered"/>
    <x v="1"/>
    <n v="2"/>
    <x v="2"/>
    <s v="VIP"/>
  </r>
  <r>
    <s v="ORD-1256"/>
    <x v="160"/>
    <m/>
    <s v=""/>
    <s v="Customer 256"/>
    <s v="Customer 256"/>
    <m/>
    <x v="0"/>
    <s v="Mobile"/>
    <x v="2"/>
    <s v="phone"/>
    <x v="2"/>
    <n v="2"/>
    <n v="2"/>
    <s v="319.08 EUR"/>
    <x v="183"/>
    <s v="EUR"/>
    <s v="EUR"/>
    <s v="RETURNED"/>
    <x v="2"/>
    <n v="5"/>
    <x v="0"/>
    <s v="late delivery"/>
  </r>
  <r>
    <n v="1257"/>
    <x v="161"/>
    <s v="2024-02-18"/>
    <d v="2024-02-18T00:00:00"/>
    <s v="Customer 257"/>
    <s v="Customer 257"/>
    <m/>
    <x v="0"/>
    <s v="Online"/>
    <x v="0"/>
    <s v="Lapotp"/>
    <x v="1"/>
    <n v="2"/>
    <n v="2"/>
    <s v="1413.03 EUR"/>
    <x v="184"/>
    <s v="$"/>
    <s v="USD"/>
    <s v="RETURNED"/>
    <x v="2"/>
    <m/>
    <x v="3"/>
    <m/>
  </r>
  <r>
    <n v="1258"/>
    <x v="162"/>
    <s v="2024-10-25"/>
    <d v="2024-10-25T00:00:00"/>
    <s v="customer 258"/>
    <s v="Customer 258"/>
    <m/>
    <x v="0"/>
    <s v="Mobile"/>
    <x v="2"/>
    <m/>
    <x v="3"/>
    <n v="2"/>
    <n v="2"/>
    <n v="1779.05"/>
    <x v="185"/>
    <s v="EUR"/>
    <s v="EUR"/>
    <s v="RETURNED"/>
    <x v="2"/>
    <n v="1"/>
    <x v="4"/>
    <m/>
  </r>
  <r>
    <m/>
    <x v="1"/>
    <m/>
    <s v=""/>
    <m/>
    <s v="Unknown Customer"/>
    <s v="EU"/>
    <x v="2"/>
    <s v="Mobile"/>
    <x v="2"/>
    <s v="TABLET"/>
    <x v="0"/>
    <s v="two"/>
    <n v="2"/>
    <m/>
    <x v="7"/>
    <s v="USD"/>
    <s v="USD"/>
    <s v="RETURNED"/>
    <x v="2"/>
    <n v="2"/>
    <x v="2"/>
    <s v="late delivery"/>
  </r>
  <r>
    <n v="1260"/>
    <x v="163"/>
    <s v="20/05/2024"/>
    <d v="2024-05-20T00:00:00"/>
    <s v="Cust. 260"/>
    <s v="Customer 260"/>
    <s v="europe"/>
    <x v="2"/>
    <s v="Mobile"/>
    <x v="2"/>
    <s v="TABLET"/>
    <x v="0"/>
    <s v="two"/>
    <n v="2"/>
    <s v="875.57 EUR"/>
    <x v="186"/>
    <s v="EUR"/>
    <s v="EUR"/>
    <s v="Delivered"/>
    <x v="1"/>
    <n v="3"/>
    <x v="1"/>
    <m/>
  </r>
  <r>
    <m/>
    <x v="1"/>
    <s v="2024-03-11"/>
    <d v="2024-03-11T00:00:00"/>
    <m/>
    <s v="Unknown Customer"/>
    <m/>
    <x v="0"/>
    <m/>
    <x v="1"/>
    <s v="phone"/>
    <x v="2"/>
    <s v="two"/>
    <n v="2"/>
    <s v="1286.74 EUR"/>
    <x v="187"/>
    <m/>
    <s v="Unknown"/>
    <s v="RETURNED"/>
    <x v="2"/>
    <n v="3"/>
    <x v="1"/>
    <s v="VIP"/>
  </r>
  <r>
    <s v="ORD-1262"/>
    <x v="164"/>
    <s v="17/07/2024"/>
    <d v="2024-07-17T00:00:00"/>
    <s v="Customer 262"/>
    <s v="Customer 262"/>
    <m/>
    <x v="0"/>
    <s v="Mobile"/>
    <x v="2"/>
    <s v="Laptop"/>
    <x v="1"/>
    <s v="two"/>
    <n v="2"/>
    <n v="847.79"/>
    <x v="188"/>
    <m/>
    <s v="Unknown"/>
    <s v="RETURNED"/>
    <x v="2"/>
    <s v="five"/>
    <x v="0"/>
    <s v="late delivery"/>
  </r>
  <r>
    <s v="ORD-1263"/>
    <x v="165"/>
    <s v="2024-03-22"/>
    <d v="2024-03-22T00:00:00"/>
    <s v="customer 263"/>
    <s v="Customer 263"/>
    <s v="U.S."/>
    <x v="3"/>
    <s v="Mobile"/>
    <x v="2"/>
    <s v="phone"/>
    <x v="2"/>
    <n v="2"/>
    <n v="2"/>
    <s v="345.4 EUR"/>
    <x v="189"/>
    <s v="USD"/>
    <s v="USD"/>
    <s v="Delivered"/>
    <x v="1"/>
    <s v="five"/>
    <x v="0"/>
    <s v="VIP"/>
  </r>
  <r>
    <m/>
    <x v="1"/>
    <s v="2025-02-16"/>
    <d v="2025-02-16T00:00:00"/>
    <s v="Cust. 264"/>
    <s v="Customer 264"/>
    <s v="U.S."/>
    <x v="3"/>
    <s v="Web"/>
    <x v="0"/>
    <s v="Lapotp"/>
    <x v="1"/>
    <m/>
    <s v="Unknown"/>
    <s v="$2227.41"/>
    <x v="190"/>
    <s v="USD"/>
    <s v="USD"/>
    <s v="RETURNED"/>
    <x v="2"/>
    <s v="five"/>
    <x v="0"/>
    <s v="VIP"/>
  </r>
  <r>
    <n v="1265"/>
    <x v="166"/>
    <s v="30/03/2024"/>
    <d v="2024-03-30T00:00:00"/>
    <s v="customer 265"/>
    <s v="Customer 265"/>
    <s v="EU"/>
    <x v="2"/>
    <s v="Web"/>
    <x v="0"/>
    <s v="phone"/>
    <x v="2"/>
    <n v="1"/>
    <n v="1"/>
    <n v="1496.79"/>
    <x v="191"/>
    <s v="€"/>
    <s v="EUR"/>
    <s v="pending"/>
    <x v="0"/>
    <n v="2"/>
    <x v="2"/>
    <s v="late delivery"/>
  </r>
  <r>
    <n v="1266"/>
    <x v="167"/>
    <s v="2024-06-23"/>
    <d v="2024-06-23T00:00:00"/>
    <s v="customer 266"/>
    <s v="Customer 266"/>
    <s v="U.S."/>
    <x v="3"/>
    <m/>
    <x v="1"/>
    <s v="Lapotp"/>
    <x v="1"/>
    <n v="1"/>
    <n v="1"/>
    <s v="$2164.97"/>
    <x v="192"/>
    <m/>
    <s v="Unknown"/>
    <s v="RETURNED"/>
    <x v="2"/>
    <n v="1"/>
    <x v="4"/>
    <s v="VIP"/>
  </r>
  <r>
    <m/>
    <x v="1"/>
    <s v="2024-12-26"/>
    <d v="2024-12-26T00:00:00"/>
    <s v="Cust. 267"/>
    <s v="Customer 267"/>
    <s v="Asia"/>
    <x v="1"/>
    <s v="Mobile"/>
    <x v="2"/>
    <s v="Lapotp"/>
    <x v="1"/>
    <n v="2"/>
    <n v="2"/>
    <m/>
    <x v="7"/>
    <s v="$"/>
    <s v="USD"/>
    <m/>
    <x v="3"/>
    <n v="5"/>
    <x v="0"/>
    <s v="VIP"/>
  </r>
  <r>
    <n v="1268"/>
    <x v="168"/>
    <s v="30/03/2024"/>
    <d v="2024-03-30T00:00:00"/>
    <m/>
    <s v="Unknown Customer"/>
    <s v="Asia"/>
    <x v="1"/>
    <m/>
    <x v="1"/>
    <s v="TABLET"/>
    <x v="0"/>
    <n v="3"/>
    <n v="3"/>
    <s v="$2136.19"/>
    <x v="193"/>
    <s v="USD"/>
    <s v="USD"/>
    <s v="Delivered"/>
    <x v="1"/>
    <m/>
    <x v="3"/>
    <m/>
  </r>
  <r>
    <m/>
    <x v="1"/>
    <s v="2024-12-25"/>
    <d v="2024-12-25T00:00:00"/>
    <s v="customer 269"/>
    <s v="Customer 269"/>
    <s v="U.S."/>
    <x v="3"/>
    <s v="Mobile"/>
    <x v="2"/>
    <m/>
    <x v="3"/>
    <m/>
    <s v="Unknown"/>
    <m/>
    <x v="7"/>
    <s v="USD"/>
    <s v="USD"/>
    <m/>
    <x v="3"/>
    <s v="five"/>
    <x v="0"/>
    <m/>
  </r>
  <r>
    <n v="1270"/>
    <x v="169"/>
    <s v="09-11-2024"/>
    <d v="2024-11-09T00:00:00"/>
    <s v="Cust. 270"/>
    <s v="Customer 270"/>
    <s v="US"/>
    <x v="3"/>
    <m/>
    <x v="1"/>
    <s v="Laptop"/>
    <x v="1"/>
    <n v="3"/>
    <n v="3"/>
    <n v="464.9"/>
    <x v="194"/>
    <s v="$"/>
    <s v="USD"/>
    <s v="Delivered"/>
    <x v="1"/>
    <n v="3"/>
    <x v="1"/>
    <s v="late delivery"/>
  </r>
  <r>
    <s v="ORD-1271"/>
    <x v="170"/>
    <s v="2024-05-07"/>
    <d v="2024-05-07T00:00:00"/>
    <s v="Customer 271"/>
    <s v="Customer 271"/>
    <s v="EU"/>
    <x v="2"/>
    <s v="Mobile"/>
    <x v="2"/>
    <s v="phone"/>
    <x v="2"/>
    <s v="two"/>
    <n v="2"/>
    <s v="$2094.87"/>
    <x v="195"/>
    <s v="USD"/>
    <s v="USD"/>
    <s v="RETURNED"/>
    <x v="2"/>
    <n v="5"/>
    <x v="0"/>
    <m/>
  </r>
  <r>
    <s v="ORD-1272"/>
    <x v="171"/>
    <s v="28/06/2024"/>
    <d v="2024-06-28T00:00:00"/>
    <s v="customer 272"/>
    <s v="Customer 272"/>
    <s v="europe"/>
    <x v="2"/>
    <s v="Online"/>
    <x v="0"/>
    <m/>
    <x v="3"/>
    <n v="1"/>
    <n v="1"/>
    <n v="1660.77"/>
    <x v="196"/>
    <s v="€"/>
    <s v="EUR"/>
    <s v="Delivered"/>
    <x v="1"/>
    <n v="3"/>
    <x v="1"/>
    <s v="VIP"/>
  </r>
  <r>
    <s v="ORD-1273"/>
    <x v="172"/>
    <s v="23/02/2024"/>
    <d v="2024-02-23T00:00:00"/>
    <s v="Customer 273"/>
    <s v="Customer 273"/>
    <s v="U.S."/>
    <x v="3"/>
    <s v="Online"/>
    <x v="0"/>
    <s v="phone"/>
    <x v="2"/>
    <m/>
    <s v="Unknown"/>
    <s v="268.89 EUR"/>
    <x v="197"/>
    <m/>
    <s v="Unknown"/>
    <s v="RETURNED"/>
    <x v="2"/>
    <m/>
    <x v="3"/>
    <m/>
  </r>
  <r>
    <m/>
    <x v="1"/>
    <m/>
    <s v=""/>
    <s v="customer 274"/>
    <s v="Customer 274"/>
    <s v="EU"/>
    <x v="2"/>
    <s v="Online"/>
    <x v="0"/>
    <s v="phone"/>
    <x v="2"/>
    <n v="2"/>
    <n v="2"/>
    <s v="2830.2 EUR"/>
    <x v="198"/>
    <s v="USD"/>
    <s v="USD"/>
    <s v="RETURNED"/>
    <x v="2"/>
    <m/>
    <x v="3"/>
    <s v="VIP"/>
  </r>
  <r>
    <n v="1275"/>
    <x v="173"/>
    <s v="2024-12-04"/>
    <d v="2024-12-04T00:00:00"/>
    <m/>
    <s v="Unknown Customer"/>
    <s v="U.S."/>
    <x v="3"/>
    <s v="Web"/>
    <x v="0"/>
    <m/>
    <x v="3"/>
    <s v="two"/>
    <n v="2"/>
    <s v="880.49 EUR"/>
    <x v="199"/>
    <s v="USD"/>
    <s v="USD"/>
    <s v="Delivered"/>
    <x v="1"/>
    <n v="3"/>
    <x v="1"/>
    <m/>
  </r>
  <r>
    <n v="1276"/>
    <x v="174"/>
    <s v="2024-08-06"/>
    <d v="2024-08-06T00:00:00"/>
    <s v="Customer 276"/>
    <s v="Customer 276"/>
    <s v="US"/>
    <x v="3"/>
    <s v="Online"/>
    <x v="0"/>
    <s v="TABLET"/>
    <x v="0"/>
    <n v="3"/>
    <n v="3"/>
    <m/>
    <x v="7"/>
    <s v="EUR"/>
    <s v="EUR"/>
    <s v="RETURNED"/>
    <x v="2"/>
    <n v="1"/>
    <x v="4"/>
    <s v="VIP"/>
  </r>
  <r>
    <m/>
    <x v="1"/>
    <s v="02-05-2025"/>
    <d v="2025-05-02T00:00:00"/>
    <s v="Customer 277"/>
    <s v="Customer 277"/>
    <m/>
    <x v="0"/>
    <s v="Web"/>
    <x v="0"/>
    <s v="phone"/>
    <x v="2"/>
    <n v="2"/>
    <n v="2"/>
    <m/>
    <x v="7"/>
    <s v="€"/>
    <s v="EUR"/>
    <s v="RETURNED"/>
    <x v="2"/>
    <n v="3"/>
    <x v="1"/>
    <s v="late delivery"/>
  </r>
  <r>
    <s v="ORD-1278"/>
    <x v="175"/>
    <s v="08-16-2024"/>
    <s v=""/>
    <s v="customer 278"/>
    <s v="Customer 278"/>
    <m/>
    <x v="0"/>
    <s v="Mobile"/>
    <x v="2"/>
    <s v="TABLET"/>
    <x v="0"/>
    <n v="1"/>
    <n v="1"/>
    <m/>
    <x v="7"/>
    <s v="USD"/>
    <s v="USD"/>
    <m/>
    <x v="3"/>
    <m/>
    <x v="3"/>
    <m/>
  </r>
  <r>
    <m/>
    <x v="1"/>
    <s v="13/02/2024"/>
    <d v="2024-02-13T00:00:00"/>
    <s v="Customer 279"/>
    <s v="Customer 279"/>
    <m/>
    <x v="0"/>
    <s v="Mobile"/>
    <x v="2"/>
    <m/>
    <x v="3"/>
    <m/>
    <s v="Unknown"/>
    <m/>
    <x v="7"/>
    <s v="$"/>
    <s v="USD"/>
    <s v="pending"/>
    <x v="0"/>
    <m/>
    <x v="3"/>
    <m/>
  </r>
  <r>
    <s v="ORD-1280"/>
    <x v="176"/>
    <s v="2024-10-20"/>
    <d v="2024-10-20T00:00:00"/>
    <m/>
    <s v="Unknown Customer"/>
    <m/>
    <x v="0"/>
    <m/>
    <x v="1"/>
    <s v="Laptop"/>
    <x v="1"/>
    <m/>
    <s v="Unknown"/>
    <m/>
    <x v="7"/>
    <m/>
    <s v="Unknown"/>
    <s v="pending"/>
    <x v="0"/>
    <s v="five"/>
    <x v="0"/>
    <s v="late delivery"/>
  </r>
  <r>
    <n v="1281"/>
    <x v="177"/>
    <s v="02/03/2024"/>
    <d v="2024-03-02T00:00:00"/>
    <s v="customer 281"/>
    <s v="Customer 281"/>
    <m/>
    <x v="0"/>
    <s v="Online"/>
    <x v="0"/>
    <s v="Lapotp"/>
    <x v="1"/>
    <n v="1"/>
    <n v="1"/>
    <m/>
    <x v="7"/>
    <s v="$"/>
    <s v="USD"/>
    <s v="Delivered"/>
    <x v="1"/>
    <m/>
    <x v="3"/>
    <m/>
  </r>
  <r>
    <m/>
    <x v="1"/>
    <s v="04-13-2024"/>
    <s v=""/>
    <s v="Cust. 282"/>
    <s v="Customer 282"/>
    <m/>
    <x v="0"/>
    <s v="Online"/>
    <x v="0"/>
    <s v="Laptop"/>
    <x v="1"/>
    <s v="two"/>
    <n v="2"/>
    <s v="2991.94 EUR"/>
    <x v="200"/>
    <m/>
    <s v="Unknown"/>
    <s v="RETURNED"/>
    <x v="2"/>
    <s v="five"/>
    <x v="0"/>
    <s v="VIP"/>
  </r>
  <r>
    <m/>
    <x v="1"/>
    <m/>
    <s v=""/>
    <s v="Customer 283"/>
    <s v="Customer 283"/>
    <s v="europe"/>
    <x v="2"/>
    <s v="Online"/>
    <x v="0"/>
    <s v="Lapotp"/>
    <x v="1"/>
    <m/>
    <s v="Unknown"/>
    <n v="1583.08"/>
    <x v="201"/>
    <m/>
    <s v="Unknown"/>
    <s v="pending"/>
    <x v="0"/>
    <n v="1"/>
    <x v="4"/>
    <m/>
  </r>
  <r>
    <m/>
    <x v="1"/>
    <s v="10-15-2024"/>
    <s v=""/>
    <m/>
    <s v="Unknown Customer"/>
    <s v="Asia"/>
    <x v="1"/>
    <s v="Mobile"/>
    <x v="2"/>
    <s v="TABLET"/>
    <x v="0"/>
    <s v="two"/>
    <n v="2"/>
    <s v="$2349.66"/>
    <x v="202"/>
    <m/>
    <s v="Unknown"/>
    <s v="pending"/>
    <x v="0"/>
    <n v="5"/>
    <x v="0"/>
    <m/>
  </r>
  <r>
    <m/>
    <x v="1"/>
    <m/>
    <s v=""/>
    <s v="Customer 285"/>
    <s v="Customer 285"/>
    <s v="europe"/>
    <x v="2"/>
    <s v="Mobile"/>
    <x v="2"/>
    <s v="TABLET"/>
    <x v="0"/>
    <n v="2"/>
    <n v="2"/>
    <s v="862.47 EUR"/>
    <x v="203"/>
    <s v="EUR"/>
    <s v="EUR"/>
    <m/>
    <x v="3"/>
    <n v="5"/>
    <x v="0"/>
    <s v="VIP"/>
  </r>
  <r>
    <s v="ORD-1286"/>
    <x v="178"/>
    <s v="07-09-2024"/>
    <d v="2024-09-07T00:00:00"/>
    <m/>
    <s v="Unknown Customer"/>
    <m/>
    <x v="0"/>
    <m/>
    <x v="1"/>
    <s v="TABLET"/>
    <x v="0"/>
    <n v="1"/>
    <n v="1"/>
    <s v="$109.69"/>
    <x v="204"/>
    <s v="USD"/>
    <s v="USD"/>
    <s v="Delivered"/>
    <x v="1"/>
    <n v="3"/>
    <x v="1"/>
    <m/>
  </r>
  <r>
    <m/>
    <x v="1"/>
    <m/>
    <s v=""/>
    <s v="Customer 287"/>
    <s v="Customer 287"/>
    <s v="US"/>
    <x v="3"/>
    <s v="Mobile"/>
    <x v="2"/>
    <s v="Lapotp"/>
    <x v="1"/>
    <s v="two"/>
    <n v="2"/>
    <s v="$2486.18"/>
    <x v="205"/>
    <s v="$"/>
    <s v="USD"/>
    <s v="pending"/>
    <x v="0"/>
    <n v="3"/>
    <x v="1"/>
    <m/>
  </r>
  <r>
    <s v="ORD-1288"/>
    <x v="179"/>
    <m/>
    <s v=""/>
    <s v="customer 288"/>
    <s v="Customer 288"/>
    <m/>
    <x v="0"/>
    <s v="Web"/>
    <x v="0"/>
    <s v="TABLET"/>
    <x v="0"/>
    <n v="1"/>
    <n v="1"/>
    <n v="2384.9"/>
    <x v="206"/>
    <s v="USD"/>
    <s v="USD"/>
    <s v="Delivered"/>
    <x v="1"/>
    <n v="2"/>
    <x v="2"/>
    <m/>
  </r>
  <r>
    <s v="ORD-1289"/>
    <x v="180"/>
    <s v="07/05/2024"/>
    <d v="2024-05-07T00:00:00"/>
    <s v="Cust. 289"/>
    <s v="Customer 289"/>
    <s v="Asia"/>
    <x v="1"/>
    <s v="Mobile"/>
    <x v="2"/>
    <s v="TABLET"/>
    <x v="0"/>
    <s v="two"/>
    <n v="2"/>
    <n v="147.56"/>
    <x v="207"/>
    <s v="EUR"/>
    <s v="EUR"/>
    <m/>
    <x v="3"/>
    <n v="1"/>
    <x v="4"/>
    <s v="late delivery"/>
  </r>
  <r>
    <n v="1290"/>
    <x v="181"/>
    <m/>
    <s v=""/>
    <s v="Cust. 290"/>
    <s v="Customer 290"/>
    <s v="Asia"/>
    <x v="1"/>
    <s v="Online"/>
    <x v="0"/>
    <m/>
    <x v="3"/>
    <n v="3"/>
    <n v="3"/>
    <m/>
    <x v="7"/>
    <s v="EUR"/>
    <s v="EUR"/>
    <s v="RETURNED"/>
    <x v="2"/>
    <n v="1"/>
    <x v="4"/>
    <m/>
  </r>
  <r>
    <n v="1291"/>
    <x v="182"/>
    <s v="26/01/2024"/>
    <d v="2024-01-26T00:00:00"/>
    <s v="customer 291"/>
    <s v="Customer 291"/>
    <s v="Asia"/>
    <x v="1"/>
    <m/>
    <x v="1"/>
    <s v="phone"/>
    <x v="2"/>
    <m/>
    <s v="Unknown"/>
    <s v="530.58 EUR"/>
    <x v="208"/>
    <s v="EUR"/>
    <s v="EUR"/>
    <m/>
    <x v="3"/>
    <n v="1"/>
    <x v="4"/>
    <m/>
  </r>
  <r>
    <n v="1292"/>
    <x v="183"/>
    <s v="03-08-2024"/>
    <d v="2024-08-03T00:00:00"/>
    <s v="Cust. 292"/>
    <s v="Customer 292"/>
    <m/>
    <x v="0"/>
    <m/>
    <x v="1"/>
    <s v="TABLET"/>
    <x v="0"/>
    <n v="3"/>
    <n v="3"/>
    <n v="1959.75"/>
    <x v="209"/>
    <s v="$"/>
    <s v="USD"/>
    <s v="RETURNED"/>
    <x v="2"/>
    <n v="3"/>
    <x v="1"/>
    <m/>
  </r>
  <r>
    <m/>
    <x v="1"/>
    <m/>
    <s v=""/>
    <s v="Customer 293"/>
    <s v="Customer 293"/>
    <s v="EU"/>
    <x v="2"/>
    <s v="Web"/>
    <x v="0"/>
    <s v="TABLET"/>
    <x v="0"/>
    <n v="3"/>
    <n v="3"/>
    <s v="$693.72"/>
    <x v="210"/>
    <m/>
    <s v="Unknown"/>
    <m/>
    <x v="3"/>
    <s v="five"/>
    <x v="0"/>
    <s v="VIP"/>
  </r>
  <r>
    <n v="1294"/>
    <x v="184"/>
    <s v="06-01-2024"/>
    <d v="2024-01-06T00:00:00"/>
    <s v="Cust. 294"/>
    <s v="Customer 294"/>
    <m/>
    <x v="0"/>
    <s v="Mobile"/>
    <x v="2"/>
    <m/>
    <x v="3"/>
    <n v="3"/>
    <n v="3"/>
    <m/>
    <x v="7"/>
    <s v="€"/>
    <s v="EUR"/>
    <m/>
    <x v="3"/>
    <m/>
    <x v="3"/>
    <s v="VIP"/>
  </r>
  <r>
    <n v="1295"/>
    <x v="185"/>
    <m/>
    <s v=""/>
    <s v="Cust. 295"/>
    <s v="Customer 295"/>
    <m/>
    <x v="0"/>
    <s v="Online"/>
    <x v="0"/>
    <s v="TABLET"/>
    <x v="0"/>
    <n v="1"/>
    <n v="1"/>
    <s v="492.29 EUR"/>
    <x v="211"/>
    <s v="$"/>
    <s v="USD"/>
    <s v="RETURNED"/>
    <x v="2"/>
    <n v="3"/>
    <x v="1"/>
    <m/>
  </r>
  <r>
    <m/>
    <x v="1"/>
    <s v="26/07/2024"/>
    <d v="2024-07-26T00:00:00"/>
    <s v="Cust. 296"/>
    <s v="Customer 296"/>
    <m/>
    <x v="0"/>
    <m/>
    <x v="1"/>
    <s v="Lapotp"/>
    <x v="1"/>
    <m/>
    <s v="Unknown"/>
    <n v="1195.4100000000001"/>
    <x v="212"/>
    <s v="$"/>
    <s v="USD"/>
    <m/>
    <x v="3"/>
    <n v="3"/>
    <x v="1"/>
    <s v="VIP"/>
  </r>
  <r>
    <s v="ORD-1297"/>
    <x v="186"/>
    <s v="2024-03-28"/>
    <d v="2024-03-28T00:00:00"/>
    <m/>
    <s v="Unknown Customer"/>
    <s v="US"/>
    <x v="3"/>
    <m/>
    <x v="1"/>
    <s v="phone"/>
    <x v="2"/>
    <m/>
    <s v="Unknown"/>
    <s v="2529.88 EUR"/>
    <x v="213"/>
    <s v="USD"/>
    <s v="USD"/>
    <m/>
    <x v="3"/>
    <n v="3"/>
    <x v="1"/>
    <m/>
  </r>
  <r>
    <s v="ORD-1298"/>
    <x v="187"/>
    <s v="04-23-2024"/>
    <s v=""/>
    <s v="Cust. 298"/>
    <s v="Customer 298"/>
    <s v="Asia"/>
    <x v="1"/>
    <s v="Web"/>
    <x v="0"/>
    <s v="phone"/>
    <x v="2"/>
    <s v="two"/>
    <n v="2"/>
    <s v="$1098.09"/>
    <x v="214"/>
    <s v="EUR"/>
    <s v="EUR"/>
    <s v="RETURNED"/>
    <x v="2"/>
    <n v="1"/>
    <x v="4"/>
    <m/>
  </r>
  <r>
    <m/>
    <x v="1"/>
    <m/>
    <s v=""/>
    <s v="Cust. 299"/>
    <s v="Customer 299"/>
    <s v="europe"/>
    <x v="2"/>
    <s v="Online"/>
    <x v="0"/>
    <m/>
    <x v="3"/>
    <n v="2"/>
    <n v="2"/>
    <n v="2673.81"/>
    <x v="215"/>
    <s v="USD"/>
    <s v="USD"/>
    <s v="Delivered"/>
    <x v="1"/>
    <n v="3"/>
    <x v="1"/>
    <m/>
  </r>
  <r>
    <n v="1300"/>
    <x v="188"/>
    <s v="10-18-2024"/>
    <s v=""/>
    <s v="customer 300"/>
    <s v="Customer 300"/>
    <m/>
    <x v="0"/>
    <s v="Online"/>
    <x v="0"/>
    <s v="phone"/>
    <x v="2"/>
    <n v="3"/>
    <n v="3"/>
    <m/>
    <x v="7"/>
    <s v="USD"/>
    <s v="USD"/>
    <s v="RETURNED"/>
    <x v="2"/>
    <m/>
    <x v="3"/>
    <m/>
  </r>
  <r>
    <n v="1301"/>
    <x v="189"/>
    <s v="03/01/2024"/>
    <d v="2024-01-03T00:00:00"/>
    <m/>
    <s v="Unknown Customer"/>
    <m/>
    <x v="0"/>
    <s v="Online"/>
    <x v="0"/>
    <s v="Lapotp"/>
    <x v="1"/>
    <m/>
    <s v="Unknown"/>
    <s v="1383.56 EUR"/>
    <x v="216"/>
    <s v="$"/>
    <s v="USD"/>
    <m/>
    <x v="3"/>
    <n v="5"/>
    <x v="0"/>
    <m/>
  </r>
  <r>
    <n v="1302"/>
    <x v="190"/>
    <s v="2024-08-07"/>
    <d v="2024-08-07T00:00:00"/>
    <s v="customer 302"/>
    <s v="Customer 302"/>
    <m/>
    <x v="0"/>
    <s v="Mobile"/>
    <x v="2"/>
    <s v="Laptop"/>
    <x v="1"/>
    <n v="3"/>
    <n v="3"/>
    <m/>
    <x v="7"/>
    <m/>
    <s v="Unknown"/>
    <s v="Delivered"/>
    <x v="1"/>
    <n v="1"/>
    <x v="4"/>
    <m/>
  </r>
  <r>
    <m/>
    <x v="1"/>
    <s v="11-16-2024"/>
    <s v=""/>
    <s v="Cust. 303"/>
    <s v="Customer 303"/>
    <s v="US"/>
    <x v="3"/>
    <s v="Online"/>
    <x v="0"/>
    <s v="phone"/>
    <x v="2"/>
    <m/>
    <s v="Unknown"/>
    <s v="2214.13 EUR"/>
    <x v="217"/>
    <m/>
    <s v="Unknown"/>
    <s v="RETURNED"/>
    <x v="2"/>
    <n v="2"/>
    <x v="2"/>
    <m/>
  </r>
  <r>
    <s v="ORD-1304"/>
    <x v="191"/>
    <s v="01-24-2024"/>
    <s v=""/>
    <m/>
    <s v="Unknown Customer"/>
    <m/>
    <x v="0"/>
    <s v="Online"/>
    <x v="0"/>
    <s v="phone"/>
    <x v="2"/>
    <s v="two"/>
    <n v="2"/>
    <s v="$929.7"/>
    <x v="218"/>
    <s v="€"/>
    <s v="EUR"/>
    <s v="Delivered"/>
    <x v="1"/>
    <n v="2"/>
    <x v="2"/>
    <m/>
  </r>
  <r>
    <n v="1305"/>
    <x v="192"/>
    <s v="2024-01-10"/>
    <d v="2024-01-10T00:00:00"/>
    <s v="customer 305"/>
    <s v="Customer 305"/>
    <s v="EU"/>
    <x v="2"/>
    <s v="Mobile"/>
    <x v="2"/>
    <s v="TABLET"/>
    <x v="0"/>
    <n v="1"/>
    <n v="1"/>
    <s v="723.83 EUR"/>
    <x v="219"/>
    <s v="$"/>
    <s v="USD"/>
    <m/>
    <x v="3"/>
    <n v="3"/>
    <x v="1"/>
    <m/>
  </r>
  <r>
    <m/>
    <x v="1"/>
    <s v="2024-10-31"/>
    <d v="2024-10-31T00:00:00"/>
    <s v="Customer 306"/>
    <s v="Customer 306"/>
    <m/>
    <x v="0"/>
    <s v="Online"/>
    <x v="0"/>
    <s v="phone"/>
    <x v="2"/>
    <s v="two"/>
    <n v="2"/>
    <n v="2984.31"/>
    <x v="220"/>
    <s v="$"/>
    <s v="USD"/>
    <s v="Delivered"/>
    <x v="1"/>
    <s v="five"/>
    <x v="0"/>
    <s v="VIP"/>
  </r>
  <r>
    <m/>
    <x v="1"/>
    <s v="2024-08-30"/>
    <d v="2024-08-30T00:00:00"/>
    <s v="Cust. 307"/>
    <s v="Customer 307"/>
    <s v="europe"/>
    <x v="2"/>
    <m/>
    <x v="1"/>
    <s v="Laptop"/>
    <x v="1"/>
    <m/>
    <s v="Unknown"/>
    <s v="2120.51 EUR"/>
    <x v="221"/>
    <s v="€"/>
    <s v="EUR"/>
    <s v="pending"/>
    <x v="0"/>
    <s v="five"/>
    <x v="0"/>
    <s v="late delivery"/>
  </r>
  <r>
    <m/>
    <x v="1"/>
    <s v="2024-08-02"/>
    <d v="2024-08-02T00:00:00"/>
    <s v="Cust. 308"/>
    <s v="Customer 308"/>
    <s v="EU"/>
    <x v="2"/>
    <s v="Online"/>
    <x v="0"/>
    <s v="phone"/>
    <x v="2"/>
    <n v="2"/>
    <n v="2"/>
    <n v="2500.4299999999998"/>
    <x v="222"/>
    <m/>
    <s v="Unknown"/>
    <s v="Delivered"/>
    <x v="1"/>
    <n v="3"/>
    <x v="1"/>
    <s v="late delivery"/>
  </r>
  <r>
    <n v="1309"/>
    <x v="193"/>
    <s v="2024-07-02"/>
    <d v="2024-07-02T00:00:00"/>
    <m/>
    <s v="Unknown Customer"/>
    <s v="US"/>
    <x v="3"/>
    <m/>
    <x v="1"/>
    <s v="phone"/>
    <x v="2"/>
    <n v="3"/>
    <n v="3"/>
    <s v="$2125.14"/>
    <x v="223"/>
    <s v="USD"/>
    <s v="USD"/>
    <s v="Delivered"/>
    <x v="1"/>
    <n v="1"/>
    <x v="4"/>
    <m/>
  </r>
  <r>
    <n v="1310"/>
    <x v="194"/>
    <s v="2024-02-26"/>
    <d v="2024-02-26T00:00:00"/>
    <s v="Customer 310"/>
    <s v="Customer 310"/>
    <m/>
    <x v="0"/>
    <m/>
    <x v="1"/>
    <s v="Laptop"/>
    <x v="1"/>
    <n v="3"/>
    <n v="3"/>
    <m/>
    <x v="7"/>
    <s v="USD"/>
    <s v="USD"/>
    <s v="RETURNED"/>
    <x v="2"/>
    <n v="3"/>
    <x v="1"/>
    <s v="VIP"/>
  </r>
  <r>
    <n v="1311"/>
    <x v="195"/>
    <s v="08-25-2024"/>
    <s v=""/>
    <s v="Cust. 311"/>
    <s v="Customer 311"/>
    <m/>
    <x v="0"/>
    <m/>
    <x v="1"/>
    <s v="phone"/>
    <x v="2"/>
    <s v="two"/>
    <n v="2"/>
    <s v="197.74 EUR"/>
    <x v="224"/>
    <s v="EUR"/>
    <s v="EUR"/>
    <s v="Delivered"/>
    <x v="1"/>
    <n v="1"/>
    <x v="4"/>
    <m/>
  </r>
  <r>
    <s v="ORD-1312"/>
    <x v="196"/>
    <s v="03-11-2024"/>
    <d v="2024-11-03T00:00:00"/>
    <m/>
    <s v="Unknown Customer"/>
    <s v="U.S."/>
    <x v="3"/>
    <s v="Mobile"/>
    <x v="2"/>
    <s v="TABLET"/>
    <x v="0"/>
    <n v="1"/>
    <n v="1"/>
    <s v="2006.9 EUR"/>
    <x v="225"/>
    <s v="€"/>
    <s v="EUR"/>
    <s v="RETURNED"/>
    <x v="2"/>
    <n v="2"/>
    <x v="2"/>
    <m/>
  </r>
  <r>
    <s v="ORD-1313"/>
    <x v="197"/>
    <m/>
    <s v=""/>
    <m/>
    <s v="Unknown Customer"/>
    <m/>
    <x v="0"/>
    <s v="Mobile"/>
    <x v="2"/>
    <s v="TABLET"/>
    <x v="0"/>
    <n v="2"/>
    <n v="2"/>
    <m/>
    <x v="7"/>
    <s v="EUR"/>
    <s v="EUR"/>
    <s v="Delivered"/>
    <x v="1"/>
    <m/>
    <x v="3"/>
    <m/>
  </r>
  <r>
    <m/>
    <x v="1"/>
    <m/>
    <s v=""/>
    <s v="customer 314"/>
    <s v="Customer 314"/>
    <s v="U.S."/>
    <x v="3"/>
    <s v="Mobile"/>
    <x v="2"/>
    <m/>
    <x v="3"/>
    <n v="3"/>
    <n v="3"/>
    <m/>
    <x v="7"/>
    <m/>
    <s v="Unknown"/>
    <s v="Delivered"/>
    <x v="1"/>
    <m/>
    <x v="3"/>
    <s v="late delivery"/>
  </r>
  <r>
    <s v="ORD-1315"/>
    <x v="198"/>
    <m/>
    <s v=""/>
    <s v="Customer 315"/>
    <s v="Customer 315"/>
    <s v="EU"/>
    <x v="2"/>
    <s v="Mobile"/>
    <x v="2"/>
    <s v="TABLET"/>
    <x v="0"/>
    <n v="3"/>
    <n v="3"/>
    <n v="2765.17"/>
    <x v="226"/>
    <s v="EUR"/>
    <s v="EUR"/>
    <m/>
    <x v="3"/>
    <m/>
    <x v="3"/>
    <s v="late delivery"/>
  </r>
  <r>
    <s v="ORD-1316"/>
    <x v="199"/>
    <s v="08/12/2024"/>
    <d v="2024-12-08T00:00:00"/>
    <m/>
    <s v="Unknown Customer"/>
    <s v="Asia"/>
    <x v="1"/>
    <m/>
    <x v="1"/>
    <s v="TABLET"/>
    <x v="0"/>
    <s v="two"/>
    <n v="2"/>
    <n v="2625.77"/>
    <x v="227"/>
    <s v="USD"/>
    <s v="USD"/>
    <s v="pending"/>
    <x v="0"/>
    <s v="five"/>
    <x v="0"/>
    <m/>
  </r>
  <r>
    <m/>
    <x v="1"/>
    <m/>
    <s v=""/>
    <m/>
    <s v="Unknown Customer"/>
    <m/>
    <x v="0"/>
    <s v="Online"/>
    <x v="0"/>
    <s v="Laptop"/>
    <x v="1"/>
    <s v="two"/>
    <n v="2"/>
    <s v="1948.03 EUR"/>
    <x v="228"/>
    <s v="€"/>
    <s v="EUR"/>
    <s v="Delivered"/>
    <x v="1"/>
    <n v="3"/>
    <x v="1"/>
    <s v="VIP"/>
  </r>
  <r>
    <s v="ORD-1318"/>
    <x v="200"/>
    <s v="26/01/2024"/>
    <d v="2024-01-26T00:00:00"/>
    <s v="Customer 318"/>
    <s v="Customer 318"/>
    <s v="europe"/>
    <x v="2"/>
    <s v="Mobile"/>
    <x v="2"/>
    <m/>
    <x v="3"/>
    <m/>
    <s v="Unknown"/>
    <m/>
    <x v="7"/>
    <s v="$"/>
    <s v="USD"/>
    <s v="Delivered"/>
    <x v="1"/>
    <n v="5"/>
    <x v="0"/>
    <m/>
  </r>
  <r>
    <m/>
    <x v="1"/>
    <s v="2024-06-10"/>
    <d v="2024-06-10T00:00:00"/>
    <s v="Customer 319"/>
    <s v="Customer 319"/>
    <s v="europe"/>
    <x v="2"/>
    <s v="Mobile"/>
    <x v="2"/>
    <s v="Laptop"/>
    <x v="1"/>
    <m/>
    <s v="Unknown"/>
    <m/>
    <x v="7"/>
    <m/>
    <s v="Unknown"/>
    <s v="Delivered"/>
    <x v="1"/>
    <n v="1"/>
    <x v="4"/>
    <s v="VIP"/>
  </r>
  <r>
    <s v="ORD-1320"/>
    <x v="201"/>
    <s v="09-17-2024"/>
    <s v=""/>
    <s v="Customer 320"/>
    <s v="Customer 320"/>
    <m/>
    <x v="0"/>
    <s v="Online"/>
    <x v="0"/>
    <m/>
    <x v="3"/>
    <s v="two"/>
    <n v="2"/>
    <m/>
    <x v="7"/>
    <s v="€"/>
    <s v="EUR"/>
    <s v="pending"/>
    <x v="0"/>
    <s v="five"/>
    <x v="0"/>
    <m/>
  </r>
  <r>
    <n v="1321"/>
    <x v="202"/>
    <s v="2025-01-01"/>
    <d v="2025-01-01T00:00:00"/>
    <s v="customer 321"/>
    <s v="Customer 321"/>
    <s v="EU"/>
    <x v="2"/>
    <s v="Mobile"/>
    <x v="2"/>
    <s v="phone"/>
    <x v="2"/>
    <n v="3"/>
    <n v="3"/>
    <m/>
    <x v="7"/>
    <m/>
    <s v="Unknown"/>
    <s v="pending"/>
    <x v="0"/>
    <n v="3"/>
    <x v="1"/>
    <m/>
  </r>
  <r>
    <n v="1322"/>
    <x v="203"/>
    <m/>
    <s v=""/>
    <s v="Customer 322"/>
    <s v="Customer 322"/>
    <s v="Asia"/>
    <x v="1"/>
    <s v="Web"/>
    <x v="0"/>
    <s v="Lapotp"/>
    <x v="1"/>
    <n v="2"/>
    <n v="2"/>
    <m/>
    <x v="7"/>
    <s v="EUR"/>
    <s v="EUR"/>
    <s v="RETURNED"/>
    <x v="2"/>
    <n v="2"/>
    <x v="2"/>
    <m/>
  </r>
  <r>
    <n v="1323"/>
    <x v="204"/>
    <m/>
    <s v=""/>
    <s v="Customer 323"/>
    <s v="Customer 323"/>
    <m/>
    <x v="0"/>
    <m/>
    <x v="1"/>
    <s v="TABLET"/>
    <x v="0"/>
    <n v="1"/>
    <n v="1"/>
    <s v="$612.21"/>
    <x v="229"/>
    <s v="$"/>
    <s v="USD"/>
    <s v="RETURNED"/>
    <x v="2"/>
    <m/>
    <x v="3"/>
    <s v="late delivery"/>
  </r>
  <r>
    <m/>
    <x v="1"/>
    <m/>
    <s v=""/>
    <m/>
    <s v="Unknown Customer"/>
    <s v="U.S."/>
    <x v="3"/>
    <s v="Online"/>
    <x v="0"/>
    <s v="TABLET"/>
    <x v="0"/>
    <m/>
    <s v="Unknown"/>
    <n v="62.8"/>
    <x v="230"/>
    <s v="USD"/>
    <s v="USD"/>
    <m/>
    <x v="3"/>
    <n v="2"/>
    <x v="2"/>
    <m/>
  </r>
  <r>
    <m/>
    <x v="1"/>
    <m/>
    <s v=""/>
    <m/>
    <s v="Unknown Customer"/>
    <s v="U.S."/>
    <x v="3"/>
    <m/>
    <x v="1"/>
    <m/>
    <x v="3"/>
    <n v="2"/>
    <n v="2"/>
    <s v="$1989.69"/>
    <x v="231"/>
    <s v="€"/>
    <s v="EUR"/>
    <s v="RETURNED"/>
    <x v="2"/>
    <n v="3"/>
    <x v="1"/>
    <s v="VIP"/>
  </r>
  <r>
    <s v="ORD-1326"/>
    <x v="205"/>
    <s v="08-19-2024"/>
    <s v=""/>
    <s v="Cust. 326"/>
    <s v="Customer 326"/>
    <m/>
    <x v="0"/>
    <m/>
    <x v="1"/>
    <s v="TABLET"/>
    <x v="0"/>
    <n v="2"/>
    <n v="2"/>
    <s v="2424.15 EUR"/>
    <x v="232"/>
    <s v="USD"/>
    <s v="USD"/>
    <s v="Delivered"/>
    <x v="1"/>
    <s v="five"/>
    <x v="0"/>
    <s v="VIP"/>
  </r>
  <r>
    <m/>
    <x v="1"/>
    <s v="17/12/2024"/>
    <d v="2024-12-17T00:00:00"/>
    <s v="Cust. 327"/>
    <s v="Customer 327"/>
    <m/>
    <x v="0"/>
    <s v="Online"/>
    <x v="0"/>
    <m/>
    <x v="3"/>
    <n v="3"/>
    <n v="3"/>
    <s v="1068.62 EUR"/>
    <x v="233"/>
    <m/>
    <s v="Unknown"/>
    <s v="RETURNED"/>
    <x v="2"/>
    <s v="five"/>
    <x v="0"/>
    <m/>
  </r>
  <r>
    <s v="ORD-1328"/>
    <x v="206"/>
    <s v="2024-12-11"/>
    <d v="2024-12-11T00:00:00"/>
    <s v="Customer 328"/>
    <s v="Customer 328"/>
    <s v="EU"/>
    <x v="2"/>
    <s v="Mobile"/>
    <x v="2"/>
    <s v="Lapotp"/>
    <x v="1"/>
    <n v="1"/>
    <n v="1"/>
    <s v="$2256.21"/>
    <x v="234"/>
    <s v="EUR"/>
    <s v="EUR"/>
    <s v="Delivered"/>
    <x v="1"/>
    <n v="3"/>
    <x v="1"/>
    <s v="late delivery"/>
  </r>
  <r>
    <n v="1329"/>
    <x v="207"/>
    <s v="05-26-2024"/>
    <s v=""/>
    <s v="customer 329"/>
    <s v="Customer 329"/>
    <m/>
    <x v="0"/>
    <s v="Web"/>
    <x v="0"/>
    <s v="Laptop"/>
    <x v="1"/>
    <n v="3"/>
    <n v="3"/>
    <s v="2066.0 EUR"/>
    <x v="235"/>
    <s v="$"/>
    <s v="USD"/>
    <s v="Delivered"/>
    <x v="1"/>
    <s v="five"/>
    <x v="0"/>
    <s v="late delivery"/>
  </r>
  <r>
    <n v="1330"/>
    <x v="208"/>
    <s v="01-15-2025"/>
    <s v=""/>
    <s v="Customer 330"/>
    <s v="Customer 330"/>
    <s v="europe"/>
    <x v="2"/>
    <s v="Mobile"/>
    <x v="2"/>
    <s v="phone"/>
    <x v="2"/>
    <n v="3"/>
    <n v="3"/>
    <m/>
    <x v="7"/>
    <m/>
    <s v="Unknown"/>
    <s v="Delivered"/>
    <x v="1"/>
    <n v="1"/>
    <x v="4"/>
    <s v="VIP"/>
  </r>
  <r>
    <n v="1331"/>
    <x v="209"/>
    <s v="04-13-2024"/>
    <s v=""/>
    <s v="customer 331"/>
    <s v="Customer 331"/>
    <m/>
    <x v="0"/>
    <m/>
    <x v="1"/>
    <s v="Lapotp"/>
    <x v="1"/>
    <n v="3"/>
    <n v="3"/>
    <m/>
    <x v="7"/>
    <s v="$"/>
    <s v="USD"/>
    <s v="Delivered"/>
    <x v="1"/>
    <m/>
    <x v="3"/>
    <m/>
  </r>
  <r>
    <s v="ORD-1332"/>
    <x v="210"/>
    <s v="2024-04-05"/>
    <d v="2024-04-05T00:00:00"/>
    <m/>
    <s v="Unknown Customer"/>
    <s v="Asia"/>
    <x v="1"/>
    <s v="Web"/>
    <x v="0"/>
    <s v="phone"/>
    <x v="2"/>
    <n v="2"/>
    <n v="2"/>
    <n v="2889.3"/>
    <x v="236"/>
    <s v="USD"/>
    <s v="USD"/>
    <s v="pending"/>
    <x v="0"/>
    <n v="3"/>
    <x v="1"/>
    <m/>
  </r>
  <r>
    <n v="1333"/>
    <x v="211"/>
    <s v="18/06/2024"/>
    <d v="2024-06-18T00:00:00"/>
    <s v="Cust. 333"/>
    <s v="Customer 333"/>
    <s v="U.S."/>
    <x v="3"/>
    <s v="Online"/>
    <x v="0"/>
    <m/>
    <x v="3"/>
    <m/>
    <s v="Unknown"/>
    <s v="1425.68 EUR"/>
    <x v="237"/>
    <s v="€"/>
    <s v="EUR"/>
    <s v="RETURNED"/>
    <x v="2"/>
    <s v="five"/>
    <x v="0"/>
    <s v="VIP"/>
  </r>
  <r>
    <m/>
    <x v="1"/>
    <s v="07/02/2024"/>
    <d v="2024-02-07T00:00:00"/>
    <s v="customer 334"/>
    <s v="Customer 334"/>
    <s v="U.S."/>
    <x v="3"/>
    <s v="Online"/>
    <x v="0"/>
    <m/>
    <x v="3"/>
    <m/>
    <s v="Unknown"/>
    <s v="$2362.89"/>
    <x v="238"/>
    <s v="USD"/>
    <s v="USD"/>
    <s v="RETURNED"/>
    <x v="2"/>
    <s v="five"/>
    <x v="0"/>
    <m/>
  </r>
  <r>
    <m/>
    <x v="1"/>
    <s v="02-17-2024"/>
    <s v=""/>
    <s v="Cust. 335"/>
    <s v="Customer 335"/>
    <s v="Asia"/>
    <x v="1"/>
    <s v="Mobile"/>
    <x v="2"/>
    <s v="Lapotp"/>
    <x v="1"/>
    <m/>
    <s v="Unknown"/>
    <s v="1080.74 EUR"/>
    <x v="239"/>
    <m/>
    <s v="Unknown"/>
    <s v="RETURNED"/>
    <x v="2"/>
    <s v="five"/>
    <x v="0"/>
    <m/>
  </r>
  <r>
    <n v="1336"/>
    <x v="212"/>
    <s v="28/02/2024"/>
    <d v="2024-02-28T00:00:00"/>
    <s v="Customer 336"/>
    <s v="Customer 336"/>
    <m/>
    <x v="0"/>
    <s v="Mobile"/>
    <x v="2"/>
    <s v="phone"/>
    <x v="2"/>
    <n v="1"/>
    <n v="1"/>
    <m/>
    <x v="7"/>
    <s v="$"/>
    <s v="USD"/>
    <s v="RETURNED"/>
    <x v="2"/>
    <s v="five"/>
    <x v="0"/>
    <s v="VIP"/>
  </r>
  <r>
    <m/>
    <x v="1"/>
    <m/>
    <s v=""/>
    <m/>
    <s v="Unknown Customer"/>
    <s v="EU"/>
    <x v="2"/>
    <s v="Mobile"/>
    <x v="2"/>
    <s v="TABLET"/>
    <x v="0"/>
    <n v="2"/>
    <n v="2"/>
    <s v="$2738.44"/>
    <x v="240"/>
    <s v="€"/>
    <s v="EUR"/>
    <s v="pending"/>
    <x v="0"/>
    <n v="1"/>
    <x v="4"/>
    <m/>
  </r>
  <r>
    <m/>
    <x v="1"/>
    <s v="2024-03-26"/>
    <d v="2024-03-26T00:00:00"/>
    <s v="customer 338"/>
    <s v="Customer 338"/>
    <m/>
    <x v="0"/>
    <m/>
    <x v="1"/>
    <m/>
    <x v="3"/>
    <n v="2"/>
    <n v="2"/>
    <n v="2916.3"/>
    <x v="241"/>
    <s v="$"/>
    <s v="USD"/>
    <s v="Delivered"/>
    <x v="1"/>
    <n v="2"/>
    <x v="2"/>
    <m/>
  </r>
  <r>
    <m/>
    <x v="1"/>
    <s v="27/11/2024"/>
    <d v="2024-11-27T00:00:00"/>
    <s v="Customer 339"/>
    <s v="Customer 339"/>
    <s v="europe"/>
    <x v="2"/>
    <m/>
    <x v="1"/>
    <s v="phone"/>
    <x v="2"/>
    <n v="1"/>
    <n v="1"/>
    <n v="2459.4299999999998"/>
    <x v="242"/>
    <s v="EUR"/>
    <s v="EUR"/>
    <s v="Delivered"/>
    <x v="1"/>
    <n v="1"/>
    <x v="4"/>
    <s v="late delivery"/>
  </r>
  <r>
    <m/>
    <x v="1"/>
    <s v="10/02/2025"/>
    <d v="2025-02-10T00:00:00"/>
    <s v="Cust. 340"/>
    <s v="Customer 340"/>
    <s v="europe"/>
    <x v="2"/>
    <s v="Mobile"/>
    <x v="2"/>
    <s v="phone"/>
    <x v="2"/>
    <s v="two"/>
    <n v="2"/>
    <n v="793.13"/>
    <x v="243"/>
    <s v="$"/>
    <s v="USD"/>
    <s v="RETURNED"/>
    <x v="2"/>
    <n v="1"/>
    <x v="4"/>
    <m/>
  </r>
  <r>
    <m/>
    <x v="1"/>
    <s v="2024-12-10"/>
    <d v="2024-12-10T00:00:00"/>
    <s v="Customer 341"/>
    <s v="Customer 341"/>
    <m/>
    <x v="0"/>
    <s v="Online"/>
    <x v="0"/>
    <s v="phone"/>
    <x v="2"/>
    <m/>
    <s v="Unknown"/>
    <n v="399"/>
    <x v="244"/>
    <s v="EUR"/>
    <s v="EUR"/>
    <s v="RETURNED"/>
    <x v="2"/>
    <m/>
    <x v="3"/>
    <s v="VIP"/>
  </r>
  <r>
    <s v="ORD-1342"/>
    <x v="213"/>
    <m/>
    <s v=""/>
    <s v="Customer 342"/>
    <s v="Customer 342"/>
    <s v="europe"/>
    <x v="2"/>
    <s v="Online"/>
    <x v="0"/>
    <s v="TABLET"/>
    <x v="0"/>
    <n v="2"/>
    <n v="2"/>
    <m/>
    <x v="7"/>
    <s v="USD"/>
    <s v="USD"/>
    <m/>
    <x v="3"/>
    <n v="5"/>
    <x v="0"/>
    <s v="VIP"/>
  </r>
  <r>
    <n v="1343"/>
    <x v="214"/>
    <s v="20/11/2024"/>
    <d v="2024-11-20T00:00:00"/>
    <s v="Customer 343"/>
    <s v="Customer 343"/>
    <s v="EU"/>
    <x v="2"/>
    <s v="Online"/>
    <x v="0"/>
    <s v="TABLET"/>
    <x v="0"/>
    <m/>
    <s v="Unknown"/>
    <s v="$475.02"/>
    <x v="245"/>
    <s v="$"/>
    <s v="USD"/>
    <s v="pending"/>
    <x v="0"/>
    <s v="five"/>
    <x v="0"/>
    <m/>
  </r>
  <r>
    <n v="1344"/>
    <x v="215"/>
    <m/>
    <s v=""/>
    <s v="customer 344"/>
    <s v="Customer 344"/>
    <s v="US"/>
    <x v="3"/>
    <s v="Online"/>
    <x v="0"/>
    <s v="Lapotp"/>
    <x v="1"/>
    <m/>
    <s v="Unknown"/>
    <s v="$669.66"/>
    <x v="246"/>
    <s v="€"/>
    <s v="EUR"/>
    <s v="Delivered"/>
    <x v="1"/>
    <n v="1"/>
    <x v="4"/>
    <s v="late delivery"/>
  </r>
  <r>
    <m/>
    <x v="1"/>
    <m/>
    <s v=""/>
    <s v="Customer 345"/>
    <s v="Customer 345"/>
    <s v="Asia"/>
    <x v="1"/>
    <m/>
    <x v="1"/>
    <s v="Laptop"/>
    <x v="1"/>
    <n v="3"/>
    <n v="3"/>
    <n v="2409"/>
    <x v="247"/>
    <s v="EUR"/>
    <s v="EUR"/>
    <s v="Delivered"/>
    <x v="1"/>
    <m/>
    <x v="3"/>
    <m/>
  </r>
  <r>
    <n v="1346"/>
    <x v="216"/>
    <s v="06-18-2024"/>
    <s v=""/>
    <s v="Customer 346"/>
    <s v="Customer 346"/>
    <s v="US"/>
    <x v="3"/>
    <s v="Mobile"/>
    <x v="2"/>
    <s v="phone"/>
    <x v="2"/>
    <s v="two"/>
    <n v="2"/>
    <s v="1103.56 EUR"/>
    <x v="248"/>
    <s v="€"/>
    <s v="EUR"/>
    <s v="pending"/>
    <x v="0"/>
    <m/>
    <x v="3"/>
    <s v="VIP"/>
  </r>
  <r>
    <s v="ORD-1347"/>
    <x v="217"/>
    <m/>
    <s v=""/>
    <s v="customer 347"/>
    <s v="Customer 347"/>
    <s v="EU"/>
    <x v="2"/>
    <s v="Mobile"/>
    <x v="2"/>
    <s v="Lapotp"/>
    <x v="1"/>
    <n v="2"/>
    <n v="2"/>
    <s v="$1773.3"/>
    <x v="249"/>
    <s v="$"/>
    <s v="USD"/>
    <s v="RETURNED"/>
    <x v="2"/>
    <n v="3"/>
    <x v="1"/>
    <s v="late delivery"/>
  </r>
  <r>
    <s v="ORD-1348"/>
    <x v="218"/>
    <m/>
    <s v=""/>
    <s v="Cust. 348"/>
    <s v="Customer 348"/>
    <m/>
    <x v="0"/>
    <s v="Mobile"/>
    <x v="2"/>
    <s v="phone"/>
    <x v="2"/>
    <m/>
    <s v="Unknown"/>
    <m/>
    <x v="7"/>
    <s v="EUR"/>
    <s v="EUR"/>
    <s v="Delivered"/>
    <x v="1"/>
    <m/>
    <x v="3"/>
    <m/>
  </r>
  <r>
    <m/>
    <x v="1"/>
    <s v="23/05/2024"/>
    <d v="2024-05-23T00:00:00"/>
    <s v="Cust. 349"/>
    <s v="Customer 349"/>
    <m/>
    <x v="0"/>
    <m/>
    <x v="1"/>
    <s v="Laptop"/>
    <x v="1"/>
    <n v="1"/>
    <n v="1"/>
    <s v="2583.21 EUR"/>
    <x v="250"/>
    <s v="EUR"/>
    <s v="EUR"/>
    <s v="pending"/>
    <x v="0"/>
    <m/>
    <x v="3"/>
    <m/>
  </r>
  <r>
    <m/>
    <x v="1"/>
    <s v="20/02/2025"/>
    <d v="2025-02-20T00:00:00"/>
    <s v="Customer 350"/>
    <s v="Customer 350"/>
    <s v="U.S."/>
    <x v="3"/>
    <s v="Mobile"/>
    <x v="2"/>
    <s v="TABLET"/>
    <x v="0"/>
    <m/>
    <s v="Unknown"/>
    <m/>
    <x v="7"/>
    <s v="$"/>
    <s v="USD"/>
    <m/>
    <x v="3"/>
    <n v="2"/>
    <x v="2"/>
    <s v="VIP"/>
  </r>
  <r>
    <n v="1351"/>
    <x v="219"/>
    <m/>
    <s v=""/>
    <s v="Customer 351"/>
    <s v="Customer 351"/>
    <s v="europe"/>
    <x v="2"/>
    <s v="Mobile"/>
    <x v="2"/>
    <s v="TABLET"/>
    <x v="0"/>
    <n v="1"/>
    <n v="1"/>
    <s v="$708.75"/>
    <x v="251"/>
    <s v="USD"/>
    <s v="USD"/>
    <s v="pending"/>
    <x v="0"/>
    <m/>
    <x v="3"/>
    <s v="late delivery"/>
  </r>
  <r>
    <n v="1352"/>
    <x v="220"/>
    <s v="22/01/2025"/>
    <d v="2025-01-22T00:00:00"/>
    <s v="customer 352"/>
    <s v="Customer 352"/>
    <m/>
    <x v="0"/>
    <m/>
    <x v="1"/>
    <s v="phone"/>
    <x v="2"/>
    <n v="3"/>
    <n v="3"/>
    <m/>
    <x v="7"/>
    <s v="EUR"/>
    <s v="EUR"/>
    <s v="Delivered"/>
    <x v="1"/>
    <n v="5"/>
    <x v="0"/>
    <s v="late delivery"/>
  </r>
  <r>
    <n v="1353"/>
    <x v="221"/>
    <s v="02/02/2024"/>
    <d v="2024-02-02T00:00:00"/>
    <s v="Cust. 353"/>
    <s v="Customer 353"/>
    <s v="europe"/>
    <x v="2"/>
    <s v="Mobile"/>
    <x v="2"/>
    <s v="phone"/>
    <x v="2"/>
    <n v="1"/>
    <n v="1"/>
    <s v="829.85 EUR"/>
    <x v="252"/>
    <s v="EUR"/>
    <s v="EUR"/>
    <m/>
    <x v="3"/>
    <n v="3"/>
    <x v="1"/>
    <m/>
  </r>
  <r>
    <m/>
    <x v="1"/>
    <s v="12-26-2024"/>
    <s v=""/>
    <s v="customer 354"/>
    <s v="Customer 354"/>
    <s v="europe"/>
    <x v="2"/>
    <m/>
    <x v="1"/>
    <s v="phone"/>
    <x v="2"/>
    <n v="3"/>
    <n v="3"/>
    <s v="$2906.9"/>
    <x v="253"/>
    <m/>
    <s v="Unknown"/>
    <m/>
    <x v="3"/>
    <n v="1"/>
    <x v="4"/>
    <s v="VIP"/>
  </r>
  <r>
    <m/>
    <x v="1"/>
    <m/>
    <s v=""/>
    <s v="Cust. 355"/>
    <s v="Customer 355"/>
    <m/>
    <x v="0"/>
    <s v="Mobile"/>
    <x v="2"/>
    <s v="phone"/>
    <x v="2"/>
    <s v="two"/>
    <n v="2"/>
    <s v="2919.39 EUR"/>
    <x v="254"/>
    <m/>
    <s v="Unknown"/>
    <s v="Delivered"/>
    <x v="1"/>
    <s v="five"/>
    <x v="0"/>
    <s v="late delivery"/>
  </r>
  <r>
    <m/>
    <x v="1"/>
    <s v="08-13-2024"/>
    <s v=""/>
    <s v="customer 356"/>
    <s v="Customer 356"/>
    <s v="US"/>
    <x v="3"/>
    <s v="Online"/>
    <x v="0"/>
    <s v="Lapotp"/>
    <x v="1"/>
    <n v="3"/>
    <n v="3"/>
    <n v="538.54"/>
    <x v="255"/>
    <m/>
    <s v="Unknown"/>
    <m/>
    <x v="3"/>
    <n v="1"/>
    <x v="4"/>
    <s v="late delivery"/>
  </r>
  <r>
    <s v="ORD-1357"/>
    <x v="222"/>
    <m/>
    <s v=""/>
    <m/>
    <s v="Unknown Customer"/>
    <s v="US"/>
    <x v="3"/>
    <s v="Web"/>
    <x v="0"/>
    <s v="Lapotp"/>
    <x v="1"/>
    <s v="two"/>
    <n v="2"/>
    <n v="2442.96"/>
    <x v="256"/>
    <s v="EUR"/>
    <s v="EUR"/>
    <s v="Delivered"/>
    <x v="1"/>
    <n v="1"/>
    <x v="4"/>
    <s v="late delivery"/>
  </r>
  <r>
    <m/>
    <x v="1"/>
    <s v="2024-10-20"/>
    <d v="2024-10-20T00:00:00"/>
    <s v="customer 358"/>
    <s v="Customer 358"/>
    <s v="EU"/>
    <x v="2"/>
    <s v="Online"/>
    <x v="0"/>
    <s v="phone"/>
    <x v="2"/>
    <n v="2"/>
    <n v="2"/>
    <s v="1797.43 EUR"/>
    <x v="257"/>
    <m/>
    <s v="Unknown"/>
    <s v="RETURNED"/>
    <x v="2"/>
    <s v="five"/>
    <x v="0"/>
    <m/>
  </r>
  <r>
    <n v="1359"/>
    <x v="223"/>
    <s v="03/01/2025"/>
    <d v="2025-01-03T00:00:00"/>
    <m/>
    <s v="Unknown Customer"/>
    <s v="U.S."/>
    <x v="3"/>
    <s v="Mobile"/>
    <x v="2"/>
    <m/>
    <x v="3"/>
    <s v="two"/>
    <n v="2"/>
    <s v="$2197.52"/>
    <x v="258"/>
    <s v="USD"/>
    <s v="USD"/>
    <s v="Delivered"/>
    <x v="1"/>
    <n v="5"/>
    <x v="0"/>
    <s v="late delivery"/>
  </r>
  <r>
    <m/>
    <x v="1"/>
    <s v="02-10-2025"/>
    <d v="2025-10-02T00:00:00"/>
    <s v="customer 360"/>
    <s v="Customer 360"/>
    <m/>
    <x v="0"/>
    <m/>
    <x v="1"/>
    <s v="phone"/>
    <x v="2"/>
    <s v="two"/>
    <n v="2"/>
    <s v="1768.81 EUR"/>
    <x v="259"/>
    <m/>
    <s v="Unknown"/>
    <s v="pending"/>
    <x v="0"/>
    <n v="1"/>
    <x v="4"/>
    <s v="late delivery"/>
  </r>
  <r>
    <n v="1361"/>
    <x v="224"/>
    <s v="12/07/2024"/>
    <d v="2024-07-12T00:00:00"/>
    <m/>
    <s v="Unknown Customer"/>
    <m/>
    <x v="0"/>
    <s v="Online"/>
    <x v="0"/>
    <s v="TABLET"/>
    <x v="0"/>
    <n v="1"/>
    <n v="1"/>
    <n v="1187.1099999999999"/>
    <x v="260"/>
    <s v="USD"/>
    <s v="USD"/>
    <s v="RETURNED"/>
    <x v="2"/>
    <s v="five"/>
    <x v="0"/>
    <m/>
  </r>
  <r>
    <n v="1362"/>
    <x v="225"/>
    <m/>
    <s v=""/>
    <s v="customer 362"/>
    <s v="Customer 362"/>
    <s v="U.S."/>
    <x v="3"/>
    <s v="Web"/>
    <x v="0"/>
    <m/>
    <x v="3"/>
    <n v="1"/>
    <n v="1"/>
    <n v="1617.72"/>
    <x v="261"/>
    <s v="$"/>
    <s v="USD"/>
    <s v="pending"/>
    <x v="0"/>
    <n v="5"/>
    <x v="0"/>
    <s v="VIP"/>
  </r>
  <r>
    <n v="1363"/>
    <x v="226"/>
    <m/>
    <s v=""/>
    <m/>
    <s v="Unknown Customer"/>
    <s v="Asia"/>
    <x v="1"/>
    <s v="Web"/>
    <x v="0"/>
    <m/>
    <x v="3"/>
    <m/>
    <s v="Unknown"/>
    <m/>
    <x v="7"/>
    <s v="EUR"/>
    <s v="EUR"/>
    <s v="RETURNED"/>
    <x v="2"/>
    <n v="2"/>
    <x v="2"/>
    <s v="VIP"/>
  </r>
  <r>
    <s v="ORD-1364"/>
    <x v="227"/>
    <m/>
    <s v=""/>
    <s v="Cust. 364"/>
    <s v="Customer 364"/>
    <s v="US"/>
    <x v="3"/>
    <s v="Online"/>
    <x v="0"/>
    <s v="TABLET"/>
    <x v="0"/>
    <n v="1"/>
    <n v="1"/>
    <n v="2309.2800000000002"/>
    <x v="262"/>
    <m/>
    <s v="Unknown"/>
    <s v="pending"/>
    <x v="0"/>
    <n v="1"/>
    <x v="4"/>
    <m/>
  </r>
  <r>
    <s v="ORD-1365"/>
    <x v="228"/>
    <s v="07-11-2024"/>
    <d v="2024-11-07T00:00:00"/>
    <s v="Customer 365"/>
    <s v="Customer 365"/>
    <s v="US"/>
    <x v="3"/>
    <s v="Mobile"/>
    <x v="2"/>
    <s v="TABLET"/>
    <x v="0"/>
    <m/>
    <s v="Unknown"/>
    <s v="$1980.91"/>
    <x v="263"/>
    <s v="€"/>
    <s v="EUR"/>
    <s v="RETURNED"/>
    <x v="2"/>
    <s v="five"/>
    <x v="0"/>
    <m/>
  </r>
  <r>
    <m/>
    <x v="1"/>
    <m/>
    <s v=""/>
    <s v="customer 366"/>
    <s v="Customer 366"/>
    <s v="europe"/>
    <x v="2"/>
    <s v="Web"/>
    <x v="0"/>
    <m/>
    <x v="3"/>
    <m/>
    <s v="Unknown"/>
    <s v="$1128.65"/>
    <x v="264"/>
    <s v="$"/>
    <s v="USD"/>
    <s v="Delivered"/>
    <x v="1"/>
    <n v="3"/>
    <x v="1"/>
    <m/>
  </r>
  <r>
    <m/>
    <x v="1"/>
    <m/>
    <s v=""/>
    <s v="customer 367"/>
    <s v="Customer 367"/>
    <m/>
    <x v="0"/>
    <m/>
    <x v="1"/>
    <s v="Laptop"/>
    <x v="1"/>
    <n v="2"/>
    <n v="2"/>
    <s v="$2966.1"/>
    <x v="265"/>
    <s v="$"/>
    <s v="USD"/>
    <m/>
    <x v="3"/>
    <n v="2"/>
    <x v="2"/>
    <m/>
  </r>
  <r>
    <m/>
    <x v="1"/>
    <s v="2024-04-19"/>
    <d v="2024-04-19T00:00:00"/>
    <s v="customer 368"/>
    <s v="Customer 368"/>
    <s v="europe"/>
    <x v="2"/>
    <m/>
    <x v="1"/>
    <s v="Laptop"/>
    <x v="1"/>
    <n v="1"/>
    <n v="1"/>
    <s v="$1549.61"/>
    <x v="266"/>
    <s v="USD"/>
    <s v="USD"/>
    <s v="RETURNED"/>
    <x v="2"/>
    <s v="five"/>
    <x v="0"/>
    <m/>
  </r>
  <r>
    <s v="ORD-1369"/>
    <x v="229"/>
    <s v="2024-02-15"/>
    <d v="2024-02-15T00:00:00"/>
    <s v="Customer 369"/>
    <s v="Customer 369"/>
    <m/>
    <x v="0"/>
    <s v="Mobile"/>
    <x v="2"/>
    <s v="phone"/>
    <x v="2"/>
    <m/>
    <s v="Unknown"/>
    <s v="239.04 EUR"/>
    <x v="267"/>
    <m/>
    <s v="Unknown"/>
    <s v="RETURNED"/>
    <x v="2"/>
    <m/>
    <x v="3"/>
    <m/>
  </r>
  <r>
    <s v="ORD-1370"/>
    <x v="230"/>
    <s v="2025-01-31"/>
    <d v="2025-01-31T00:00:00"/>
    <s v="customer 370"/>
    <s v="Customer 370"/>
    <m/>
    <x v="0"/>
    <m/>
    <x v="1"/>
    <m/>
    <x v="3"/>
    <m/>
    <s v="Unknown"/>
    <m/>
    <x v="7"/>
    <s v="€"/>
    <s v="EUR"/>
    <s v="Delivered"/>
    <x v="1"/>
    <n v="1"/>
    <x v="4"/>
    <s v="late delivery"/>
  </r>
  <r>
    <s v="ORD-1371"/>
    <x v="231"/>
    <s v="10/11/2024"/>
    <d v="2024-11-10T00:00:00"/>
    <s v="Customer 371"/>
    <s v="Customer 371"/>
    <s v="US"/>
    <x v="3"/>
    <s v="Online"/>
    <x v="0"/>
    <s v="phone"/>
    <x v="2"/>
    <s v="two"/>
    <n v="2"/>
    <n v="549.97"/>
    <x v="268"/>
    <s v="€"/>
    <s v="EUR"/>
    <m/>
    <x v="3"/>
    <n v="5"/>
    <x v="0"/>
    <m/>
  </r>
  <r>
    <m/>
    <x v="1"/>
    <s v="2024-10-27"/>
    <d v="2024-10-27T00:00:00"/>
    <s v="Customer 372"/>
    <s v="Customer 372"/>
    <s v="U.S."/>
    <x v="3"/>
    <s v="Mobile"/>
    <x v="2"/>
    <s v="TABLET"/>
    <x v="0"/>
    <m/>
    <s v="Unknown"/>
    <n v="640.91999999999996"/>
    <x v="269"/>
    <m/>
    <s v="Unknown"/>
    <s v="RETURNED"/>
    <x v="2"/>
    <n v="3"/>
    <x v="1"/>
    <s v="VIP"/>
  </r>
  <r>
    <s v="ORD-1373"/>
    <x v="232"/>
    <m/>
    <s v=""/>
    <s v="Customer 373"/>
    <s v="Customer 373"/>
    <s v="Asia"/>
    <x v="1"/>
    <s v="Online"/>
    <x v="0"/>
    <s v="phone"/>
    <x v="2"/>
    <m/>
    <s v="Unknown"/>
    <s v="1838.77 EUR"/>
    <x v="270"/>
    <s v="EUR"/>
    <s v="EUR"/>
    <s v="pending"/>
    <x v="0"/>
    <n v="1"/>
    <x v="4"/>
    <s v="VIP"/>
  </r>
  <r>
    <m/>
    <x v="1"/>
    <s v="06-23-2024"/>
    <s v=""/>
    <m/>
    <s v="Unknown Customer"/>
    <s v="europe"/>
    <x v="2"/>
    <s v="Web"/>
    <x v="0"/>
    <s v="phone"/>
    <x v="2"/>
    <n v="2"/>
    <n v="2"/>
    <s v="$2843.7"/>
    <x v="271"/>
    <s v="€"/>
    <s v="EUR"/>
    <s v="RETURNED"/>
    <x v="2"/>
    <m/>
    <x v="3"/>
    <m/>
  </r>
  <r>
    <n v="1375"/>
    <x v="233"/>
    <s v="10-27-2024"/>
    <s v=""/>
    <s v="Customer 375"/>
    <s v="Customer 375"/>
    <s v="europe"/>
    <x v="2"/>
    <m/>
    <x v="1"/>
    <m/>
    <x v="3"/>
    <n v="2"/>
    <n v="2"/>
    <m/>
    <x v="7"/>
    <s v="USD"/>
    <s v="USD"/>
    <s v="RETURNED"/>
    <x v="2"/>
    <n v="5"/>
    <x v="0"/>
    <s v="VIP"/>
  </r>
  <r>
    <n v="1376"/>
    <x v="234"/>
    <s v="09-21-2024"/>
    <s v=""/>
    <s v="Customer 376"/>
    <s v="Customer 376"/>
    <s v="europe"/>
    <x v="2"/>
    <m/>
    <x v="1"/>
    <s v="TABLET"/>
    <x v="0"/>
    <n v="3"/>
    <n v="3"/>
    <s v="$1630.17"/>
    <x v="272"/>
    <s v="EUR"/>
    <s v="EUR"/>
    <s v="pending"/>
    <x v="0"/>
    <n v="2"/>
    <x v="2"/>
    <m/>
  </r>
  <r>
    <n v="1377"/>
    <x v="235"/>
    <s v="09/06/2024"/>
    <d v="2024-06-09T00:00:00"/>
    <m/>
    <s v="Unknown Customer"/>
    <m/>
    <x v="0"/>
    <s v="Online"/>
    <x v="0"/>
    <s v="Lapotp"/>
    <x v="1"/>
    <n v="2"/>
    <n v="2"/>
    <s v="$1092.94"/>
    <x v="273"/>
    <s v="€"/>
    <s v="EUR"/>
    <s v="Delivered"/>
    <x v="1"/>
    <n v="2"/>
    <x v="2"/>
    <s v="late delivery"/>
  </r>
  <r>
    <n v="1378"/>
    <x v="236"/>
    <s v="2024-05-07"/>
    <d v="2024-05-07T00:00:00"/>
    <s v="Customer 378"/>
    <s v="Customer 378"/>
    <s v="EU"/>
    <x v="2"/>
    <m/>
    <x v="1"/>
    <s v="TABLET"/>
    <x v="0"/>
    <s v="two"/>
    <n v="2"/>
    <s v="$2517.19"/>
    <x v="274"/>
    <m/>
    <s v="Unknown"/>
    <s v="Delivered"/>
    <x v="1"/>
    <s v="five"/>
    <x v="0"/>
    <m/>
  </r>
  <r>
    <s v="ORD-1379"/>
    <x v="237"/>
    <s v="09-03-2024"/>
    <d v="2024-03-09T00:00:00"/>
    <m/>
    <s v="Unknown Customer"/>
    <s v="US"/>
    <x v="3"/>
    <s v="Web"/>
    <x v="0"/>
    <s v="phone"/>
    <x v="2"/>
    <s v="two"/>
    <n v="2"/>
    <s v="$1145.03"/>
    <x v="275"/>
    <s v="USD"/>
    <s v="USD"/>
    <s v="pending"/>
    <x v="0"/>
    <n v="2"/>
    <x v="2"/>
    <m/>
  </r>
  <r>
    <m/>
    <x v="1"/>
    <s v="2024-09-26"/>
    <d v="2024-09-26T00:00:00"/>
    <s v="Cust. 380"/>
    <s v="Customer 380"/>
    <s v="europe"/>
    <x v="2"/>
    <m/>
    <x v="1"/>
    <m/>
    <x v="3"/>
    <n v="2"/>
    <n v="2"/>
    <m/>
    <x v="7"/>
    <s v="$"/>
    <s v="USD"/>
    <s v="Delivered"/>
    <x v="1"/>
    <m/>
    <x v="3"/>
    <m/>
  </r>
  <r>
    <m/>
    <x v="1"/>
    <s v="10/06/2024"/>
    <d v="2024-06-10T00:00:00"/>
    <m/>
    <s v="Unknown Customer"/>
    <s v="U.S."/>
    <x v="3"/>
    <s v="Online"/>
    <x v="0"/>
    <s v="phone"/>
    <x v="2"/>
    <n v="3"/>
    <n v="3"/>
    <n v="2083.17"/>
    <x v="276"/>
    <m/>
    <s v="Unknown"/>
    <s v="RETURNED"/>
    <x v="2"/>
    <n v="2"/>
    <x v="2"/>
    <s v="VIP"/>
  </r>
  <r>
    <s v="ORD-1382"/>
    <x v="238"/>
    <s v="01/05/2024"/>
    <d v="2024-05-01T00:00:00"/>
    <m/>
    <s v="Unknown Customer"/>
    <s v="europe"/>
    <x v="2"/>
    <s v="Online"/>
    <x v="0"/>
    <s v="phone"/>
    <x v="2"/>
    <n v="3"/>
    <n v="3"/>
    <s v="$844.75"/>
    <x v="277"/>
    <s v="€"/>
    <s v="EUR"/>
    <s v="RETURNED"/>
    <x v="2"/>
    <n v="3"/>
    <x v="1"/>
    <m/>
  </r>
  <r>
    <n v="1383"/>
    <x v="239"/>
    <s v="04-02-2024"/>
    <d v="2024-02-04T00:00:00"/>
    <s v="customer 383"/>
    <s v="Customer 383"/>
    <s v="U.S."/>
    <x v="3"/>
    <s v="Mobile"/>
    <x v="2"/>
    <m/>
    <x v="3"/>
    <s v="two"/>
    <n v="2"/>
    <s v="1735.66 EUR"/>
    <x v="278"/>
    <s v="USD"/>
    <s v="USD"/>
    <s v="Delivered"/>
    <x v="1"/>
    <m/>
    <x v="3"/>
    <s v="late delivery"/>
  </r>
  <r>
    <s v="ORD-1384"/>
    <x v="240"/>
    <m/>
    <s v=""/>
    <s v="customer 384"/>
    <s v="Customer 384"/>
    <m/>
    <x v="0"/>
    <m/>
    <x v="1"/>
    <s v="TABLET"/>
    <x v="0"/>
    <m/>
    <s v="Unknown"/>
    <s v="2426.72 EUR"/>
    <x v="279"/>
    <s v="€"/>
    <s v="EUR"/>
    <s v="RETURNED"/>
    <x v="2"/>
    <n v="3"/>
    <x v="1"/>
    <s v="VIP"/>
  </r>
  <r>
    <s v="ORD-1385"/>
    <x v="241"/>
    <s v="2024-10-14"/>
    <d v="2024-10-14T00:00:00"/>
    <s v="customer 385"/>
    <s v="Customer 385"/>
    <s v="EU"/>
    <x v="2"/>
    <s v="Online"/>
    <x v="0"/>
    <m/>
    <x v="3"/>
    <n v="3"/>
    <n v="3"/>
    <n v="2582.58"/>
    <x v="280"/>
    <s v="$"/>
    <s v="USD"/>
    <m/>
    <x v="3"/>
    <n v="1"/>
    <x v="4"/>
    <m/>
  </r>
  <r>
    <s v="ORD-1386"/>
    <x v="242"/>
    <s v="01-16-2025"/>
    <s v=""/>
    <s v="Cust. 386"/>
    <s v="Customer 386"/>
    <s v="EU"/>
    <x v="2"/>
    <s v="Mobile"/>
    <x v="2"/>
    <s v="Laptop"/>
    <x v="1"/>
    <n v="3"/>
    <n v="3"/>
    <s v="$1037.24"/>
    <x v="281"/>
    <m/>
    <s v="Unknown"/>
    <s v="Delivered"/>
    <x v="1"/>
    <s v="five"/>
    <x v="0"/>
    <s v="late delivery"/>
  </r>
  <r>
    <m/>
    <x v="1"/>
    <m/>
    <s v=""/>
    <m/>
    <s v="Unknown Customer"/>
    <s v="EU"/>
    <x v="2"/>
    <s v="Mobile"/>
    <x v="2"/>
    <s v="TABLET"/>
    <x v="0"/>
    <n v="3"/>
    <n v="3"/>
    <s v="$889.6"/>
    <x v="282"/>
    <s v="$"/>
    <s v="USD"/>
    <m/>
    <x v="3"/>
    <n v="2"/>
    <x v="2"/>
    <s v="late delivery"/>
  </r>
  <r>
    <s v="ORD-1388"/>
    <x v="243"/>
    <m/>
    <s v=""/>
    <s v="Customer 388"/>
    <s v="Customer 388"/>
    <s v="EU"/>
    <x v="2"/>
    <s v="Online"/>
    <x v="0"/>
    <s v="phone"/>
    <x v="2"/>
    <n v="2"/>
    <n v="2"/>
    <s v="$2432.77"/>
    <x v="283"/>
    <s v="€"/>
    <s v="EUR"/>
    <s v="RETURNED"/>
    <x v="2"/>
    <m/>
    <x v="3"/>
    <s v="VIP"/>
  </r>
  <r>
    <s v="ORD-1389"/>
    <x v="244"/>
    <m/>
    <s v=""/>
    <s v="Cust. 389"/>
    <s v="Customer 389"/>
    <m/>
    <x v="0"/>
    <s v="Web"/>
    <x v="0"/>
    <s v="TABLET"/>
    <x v="0"/>
    <s v="two"/>
    <n v="2"/>
    <m/>
    <x v="7"/>
    <s v="$"/>
    <s v="USD"/>
    <s v="Delivered"/>
    <x v="1"/>
    <n v="2"/>
    <x v="2"/>
    <m/>
  </r>
  <r>
    <m/>
    <x v="1"/>
    <s v="2024-03-05"/>
    <d v="2024-03-05T00:00:00"/>
    <s v="customer 390"/>
    <s v="Customer 390"/>
    <s v="US"/>
    <x v="3"/>
    <s v="Mobile"/>
    <x v="2"/>
    <s v="Laptop"/>
    <x v="1"/>
    <n v="1"/>
    <n v="1"/>
    <s v="$2196.93"/>
    <x v="284"/>
    <s v="EUR"/>
    <s v="EUR"/>
    <s v="RETURNED"/>
    <x v="2"/>
    <s v="five"/>
    <x v="0"/>
    <m/>
  </r>
  <r>
    <n v="1391"/>
    <x v="245"/>
    <s v="01-14-2024"/>
    <s v=""/>
    <s v="customer 391"/>
    <s v="Customer 391"/>
    <s v="EU"/>
    <x v="2"/>
    <m/>
    <x v="1"/>
    <s v="phone"/>
    <x v="2"/>
    <n v="3"/>
    <n v="3"/>
    <n v="2324.25"/>
    <x v="285"/>
    <s v="USD"/>
    <s v="USD"/>
    <s v="Delivered"/>
    <x v="1"/>
    <m/>
    <x v="3"/>
    <s v="VIP"/>
  </r>
  <r>
    <m/>
    <x v="1"/>
    <s v="14/08/2024"/>
    <d v="2024-08-14T00:00:00"/>
    <s v="Customer 392"/>
    <s v="Customer 392"/>
    <s v="EU"/>
    <x v="2"/>
    <m/>
    <x v="1"/>
    <s v="phone"/>
    <x v="2"/>
    <n v="3"/>
    <n v="3"/>
    <s v="1898.12 EUR"/>
    <x v="286"/>
    <s v="$"/>
    <s v="USD"/>
    <s v="RETURNED"/>
    <x v="2"/>
    <s v="five"/>
    <x v="0"/>
    <s v="VIP"/>
  </r>
  <r>
    <m/>
    <x v="1"/>
    <m/>
    <s v=""/>
    <m/>
    <s v="Unknown Customer"/>
    <s v="U.S."/>
    <x v="3"/>
    <m/>
    <x v="1"/>
    <s v="TABLET"/>
    <x v="0"/>
    <m/>
    <s v="Unknown"/>
    <s v="1362.29 EUR"/>
    <x v="287"/>
    <s v="€"/>
    <s v="EUR"/>
    <s v="RETURNED"/>
    <x v="2"/>
    <n v="5"/>
    <x v="0"/>
    <s v="late delivery"/>
  </r>
  <r>
    <s v="ORD-1394"/>
    <x v="246"/>
    <m/>
    <s v=""/>
    <s v="Cust. 394"/>
    <s v="Customer 394"/>
    <s v="US"/>
    <x v="3"/>
    <s v="Mobile"/>
    <x v="2"/>
    <s v="Laptop"/>
    <x v="1"/>
    <n v="1"/>
    <n v="1"/>
    <s v="$314.18"/>
    <x v="288"/>
    <m/>
    <s v="Unknown"/>
    <s v="Delivered"/>
    <x v="1"/>
    <n v="3"/>
    <x v="1"/>
    <s v="VIP"/>
  </r>
  <r>
    <s v="ORD-1395"/>
    <x v="247"/>
    <s v="08-28-2024"/>
    <s v=""/>
    <s v="Customer 395"/>
    <s v="Customer 395"/>
    <m/>
    <x v="0"/>
    <s v="Mobile"/>
    <x v="2"/>
    <m/>
    <x v="3"/>
    <n v="3"/>
    <n v="3"/>
    <m/>
    <x v="7"/>
    <m/>
    <s v="Unknown"/>
    <s v="Delivered"/>
    <x v="1"/>
    <n v="1"/>
    <x v="4"/>
    <s v="VIP"/>
  </r>
  <r>
    <s v="ORD-1396"/>
    <x v="248"/>
    <s v="06/04/2024"/>
    <d v="2024-04-06T00:00:00"/>
    <s v="customer 396"/>
    <s v="Customer 396"/>
    <m/>
    <x v="0"/>
    <m/>
    <x v="1"/>
    <s v="TABLET"/>
    <x v="0"/>
    <s v="two"/>
    <n v="2"/>
    <m/>
    <x v="7"/>
    <s v="$"/>
    <s v="USD"/>
    <s v="Delivered"/>
    <x v="1"/>
    <n v="3"/>
    <x v="1"/>
    <m/>
  </r>
  <r>
    <s v="ORD-1397"/>
    <x v="249"/>
    <s v="08-04-2024"/>
    <d v="2024-04-08T00:00:00"/>
    <m/>
    <s v="Unknown Customer"/>
    <s v="US"/>
    <x v="3"/>
    <s v="Online"/>
    <x v="0"/>
    <s v="Lapotp"/>
    <x v="1"/>
    <n v="2"/>
    <n v="2"/>
    <s v="$1894.7"/>
    <x v="289"/>
    <s v="€"/>
    <s v="EUR"/>
    <s v="Delivered"/>
    <x v="1"/>
    <m/>
    <x v="3"/>
    <m/>
  </r>
  <r>
    <n v="1398"/>
    <x v="250"/>
    <s v="11-12-2024"/>
    <d v="2024-12-11T00:00:00"/>
    <s v="Customer 398"/>
    <s v="Customer 398"/>
    <s v="US"/>
    <x v="3"/>
    <s v="Online"/>
    <x v="0"/>
    <s v="TABLET"/>
    <x v="0"/>
    <n v="1"/>
    <n v="1"/>
    <m/>
    <x v="7"/>
    <s v="USD"/>
    <s v="USD"/>
    <s v="Delivered"/>
    <x v="1"/>
    <n v="3"/>
    <x v="1"/>
    <s v="VIP"/>
  </r>
  <r>
    <n v="1399"/>
    <x v="251"/>
    <s v="2024-03-05"/>
    <d v="2024-03-05T00:00:00"/>
    <s v="customer 399"/>
    <s v="Customer 399"/>
    <s v="EU"/>
    <x v="2"/>
    <s v="Mobile"/>
    <x v="2"/>
    <s v="Lapotp"/>
    <x v="1"/>
    <n v="3"/>
    <n v="3"/>
    <n v="2159.83"/>
    <x v="290"/>
    <s v="$"/>
    <s v="USD"/>
    <s v="RETURNED"/>
    <x v="2"/>
    <n v="5"/>
    <x v="0"/>
    <s v="VIP"/>
  </r>
  <r>
    <s v="ORD-1400"/>
    <x v="252"/>
    <s v="2024-08-25"/>
    <d v="2024-08-25T00:00:00"/>
    <s v="customer 400"/>
    <s v="Customer 400"/>
    <s v="EU"/>
    <x v="2"/>
    <s v="Mobile"/>
    <x v="2"/>
    <m/>
    <x v="3"/>
    <s v="two"/>
    <n v="2"/>
    <n v="2105.96"/>
    <x v="291"/>
    <s v="EUR"/>
    <s v="EUR"/>
    <s v="pending"/>
    <x v="0"/>
    <n v="5"/>
    <x v="0"/>
    <s v="late delivery"/>
  </r>
  <r>
    <s v="ORD-1401"/>
    <x v="253"/>
    <s v="2024-04-08"/>
    <d v="2024-04-08T00:00:00"/>
    <s v="Customer 401"/>
    <s v="Customer 401"/>
    <m/>
    <x v="0"/>
    <m/>
    <x v="1"/>
    <s v="Lapotp"/>
    <x v="1"/>
    <s v="two"/>
    <n v="2"/>
    <s v="$2692.31"/>
    <x v="292"/>
    <s v="$"/>
    <s v="USD"/>
    <s v="Delivered"/>
    <x v="1"/>
    <m/>
    <x v="3"/>
    <m/>
  </r>
  <r>
    <m/>
    <x v="1"/>
    <s v="11/04/2024"/>
    <d v="2024-04-11T00:00:00"/>
    <m/>
    <s v="Unknown Customer"/>
    <s v="europe"/>
    <x v="2"/>
    <m/>
    <x v="1"/>
    <s v="phone"/>
    <x v="2"/>
    <n v="3"/>
    <n v="3"/>
    <n v="1409.46"/>
    <x v="293"/>
    <s v="USD"/>
    <s v="USD"/>
    <m/>
    <x v="3"/>
    <m/>
    <x v="3"/>
    <m/>
  </r>
  <r>
    <s v="ORD-1403"/>
    <x v="254"/>
    <m/>
    <s v=""/>
    <s v="Cust. 403"/>
    <s v="Customer 403"/>
    <s v="US"/>
    <x v="3"/>
    <s v="Mobile"/>
    <x v="2"/>
    <s v="Laptop"/>
    <x v="1"/>
    <n v="2"/>
    <n v="2"/>
    <n v="2815.39"/>
    <x v="294"/>
    <s v="EUR"/>
    <s v="EUR"/>
    <s v="Delivered"/>
    <x v="1"/>
    <m/>
    <x v="3"/>
    <m/>
  </r>
  <r>
    <m/>
    <x v="1"/>
    <s v="2024-06-15"/>
    <d v="2024-06-15T00:00:00"/>
    <m/>
    <s v="Unknown Customer"/>
    <m/>
    <x v="0"/>
    <s v="Online"/>
    <x v="0"/>
    <s v="Laptop"/>
    <x v="1"/>
    <n v="1"/>
    <n v="1"/>
    <s v="$94.45"/>
    <x v="295"/>
    <m/>
    <s v="Unknown"/>
    <m/>
    <x v="3"/>
    <n v="5"/>
    <x v="0"/>
    <s v="late delivery"/>
  </r>
  <r>
    <n v="1405"/>
    <x v="255"/>
    <m/>
    <s v=""/>
    <s v="Customer 405"/>
    <s v="Customer 405"/>
    <m/>
    <x v="0"/>
    <s v="Web"/>
    <x v="0"/>
    <s v="phone"/>
    <x v="2"/>
    <n v="1"/>
    <n v="1"/>
    <s v="2323.85 EUR"/>
    <x v="296"/>
    <s v="EUR"/>
    <s v="EUR"/>
    <s v="RETURNED"/>
    <x v="2"/>
    <m/>
    <x v="3"/>
    <s v="late delivery"/>
  </r>
  <r>
    <n v="1406"/>
    <x v="256"/>
    <m/>
    <s v=""/>
    <s v="customer 406"/>
    <s v="Customer 406"/>
    <s v="Asia"/>
    <x v="1"/>
    <s v="Web"/>
    <x v="0"/>
    <m/>
    <x v="3"/>
    <n v="3"/>
    <n v="3"/>
    <n v="1632.24"/>
    <x v="297"/>
    <s v="$"/>
    <s v="USD"/>
    <m/>
    <x v="3"/>
    <n v="2"/>
    <x v="2"/>
    <m/>
  </r>
  <r>
    <s v="ORD-1407"/>
    <x v="257"/>
    <s v="2024-12-18"/>
    <d v="2024-12-18T00:00:00"/>
    <m/>
    <s v="Unknown Customer"/>
    <m/>
    <x v="0"/>
    <s v="Mobile"/>
    <x v="2"/>
    <s v="TABLET"/>
    <x v="0"/>
    <n v="3"/>
    <n v="3"/>
    <s v="1164.42 EUR"/>
    <x v="298"/>
    <m/>
    <s v="Unknown"/>
    <m/>
    <x v="3"/>
    <n v="5"/>
    <x v="0"/>
    <s v="late delivery"/>
  </r>
  <r>
    <s v="ORD-1408"/>
    <x v="258"/>
    <m/>
    <s v=""/>
    <s v="Cust. 408"/>
    <s v="Customer 408"/>
    <m/>
    <x v="0"/>
    <s v="Web"/>
    <x v="0"/>
    <m/>
    <x v="3"/>
    <m/>
    <s v="Unknown"/>
    <s v="$600.55"/>
    <x v="299"/>
    <s v="USD"/>
    <s v="USD"/>
    <s v="Delivered"/>
    <x v="1"/>
    <s v="five"/>
    <x v="0"/>
    <s v="late delivery"/>
  </r>
  <r>
    <m/>
    <x v="1"/>
    <s v="08-18-2024"/>
    <s v=""/>
    <m/>
    <s v="Unknown Customer"/>
    <s v="EU"/>
    <x v="2"/>
    <m/>
    <x v="1"/>
    <s v="TABLET"/>
    <x v="0"/>
    <s v="two"/>
    <n v="2"/>
    <s v="$922.23"/>
    <x v="300"/>
    <s v="USD"/>
    <s v="USD"/>
    <s v="Delivered"/>
    <x v="1"/>
    <s v="five"/>
    <x v="0"/>
    <s v="VIP"/>
  </r>
  <r>
    <m/>
    <x v="1"/>
    <s v="2025-02-01"/>
    <d v="2025-02-01T00:00:00"/>
    <m/>
    <s v="Unknown Customer"/>
    <s v="US"/>
    <x v="3"/>
    <s v="Web"/>
    <x v="0"/>
    <s v="TABLET"/>
    <x v="0"/>
    <s v="two"/>
    <n v="2"/>
    <s v="$1879.58"/>
    <x v="301"/>
    <m/>
    <s v="Unknown"/>
    <s v="Delivered"/>
    <x v="1"/>
    <s v="five"/>
    <x v="0"/>
    <s v="VIP"/>
  </r>
  <r>
    <n v="1411"/>
    <x v="259"/>
    <s v="2024-06-14"/>
    <d v="2024-06-14T00:00:00"/>
    <s v="Customer 411"/>
    <s v="Customer 411"/>
    <s v="EU"/>
    <x v="2"/>
    <s v="Online"/>
    <x v="0"/>
    <s v="Lapotp"/>
    <x v="1"/>
    <n v="1"/>
    <n v="1"/>
    <s v="$1258.92"/>
    <x v="302"/>
    <s v="USD"/>
    <s v="USD"/>
    <s v="Delivered"/>
    <x v="1"/>
    <n v="5"/>
    <x v="0"/>
    <s v="late delivery"/>
  </r>
  <r>
    <m/>
    <x v="1"/>
    <m/>
    <s v=""/>
    <s v="Cust. 412"/>
    <s v="Customer 412"/>
    <s v="EU"/>
    <x v="2"/>
    <s v="Mobile"/>
    <x v="2"/>
    <s v="Lapotp"/>
    <x v="1"/>
    <m/>
    <s v="Unknown"/>
    <m/>
    <x v="7"/>
    <s v="EUR"/>
    <s v="EUR"/>
    <s v="Delivered"/>
    <x v="1"/>
    <n v="2"/>
    <x v="2"/>
    <m/>
  </r>
  <r>
    <s v="ORD-1413"/>
    <x v="260"/>
    <m/>
    <s v=""/>
    <s v="Cust. 413"/>
    <s v="Customer 413"/>
    <m/>
    <x v="0"/>
    <m/>
    <x v="1"/>
    <s v="Laptop"/>
    <x v="1"/>
    <m/>
    <s v="Unknown"/>
    <n v="1430.77"/>
    <x v="303"/>
    <s v="€"/>
    <s v="EUR"/>
    <s v="pending"/>
    <x v="0"/>
    <n v="1"/>
    <x v="4"/>
    <m/>
  </r>
  <r>
    <m/>
    <x v="1"/>
    <s v="2024-06-04"/>
    <d v="2024-06-04T00:00:00"/>
    <s v="Customer 414"/>
    <s v="Customer 414"/>
    <m/>
    <x v="0"/>
    <s v="Online"/>
    <x v="0"/>
    <s v="TABLET"/>
    <x v="0"/>
    <s v="two"/>
    <n v="2"/>
    <s v="279.91 EUR"/>
    <x v="304"/>
    <s v="USD"/>
    <s v="USD"/>
    <s v="Delivered"/>
    <x v="1"/>
    <s v="five"/>
    <x v="0"/>
    <s v="late delivery"/>
  </r>
  <r>
    <m/>
    <x v="1"/>
    <m/>
    <s v=""/>
    <s v="Customer 415"/>
    <s v="Customer 415"/>
    <m/>
    <x v="0"/>
    <m/>
    <x v="1"/>
    <s v="TABLET"/>
    <x v="0"/>
    <n v="3"/>
    <n v="3"/>
    <s v="1894.71 EUR"/>
    <x v="305"/>
    <s v="$"/>
    <s v="USD"/>
    <m/>
    <x v="3"/>
    <m/>
    <x v="3"/>
    <m/>
  </r>
  <r>
    <m/>
    <x v="1"/>
    <m/>
    <s v=""/>
    <s v="Cust. 416"/>
    <s v="Customer 416"/>
    <m/>
    <x v="0"/>
    <s v="Online"/>
    <x v="0"/>
    <s v="TABLET"/>
    <x v="0"/>
    <m/>
    <s v="Unknown"/>
    <s v="542.09 EUR"/>
    <x v="306"/>
    <s v="$"/>
    <s v="USD"/>
    <s v="RETURNED"/>
    <x v="2"/>
    <n v="3"/>
    <x v="1"/>
    <s v="VIP"/>
  </r>
  <r>
    <m/>
    <x v="1"/>
    <s v="07-09-2024"/>
    <d v="2024-09-07T00:00:00"/>
    <s v="customer 417"/>
    <s v="Customer 417"/>
    <s v="U.S."/>
    <x v="3"/>
    <s v="Web"/>
    <x v="0"/>
    <s v="Lapotp"/>
    <x v="1"/>
    <s v="two"/>
    <n v="2"/>
    <m/>
    <x v="7"/>
    <m/>
    <s v="Unknown"/>
    <m/>
    <x v="3"/>
    <n v="3"/>
    <x v="1"/>
    <s v="VIP"/>
  </r>
  <r>
    <n v="1418"/>
    <x v="261"/>
    <s v="2024-08-19"/>
    <d v="2024-08-19T00:00:00"/>
    <s v="Cust. 418"/>
    <s v="Customer 418"/>
    <s v="U.S."/>
    <x v="3"/>
    <s v="Online"/>
    <x v="0"/>
    <s v="TABLET"/>
    <x v="0"/>
    <n v="2"/>
    <n v="2"/>
    <m/>
    <x v="7"/>
    <s v="€"/>
    <s v="EUR"/>
    <s v="Delivered"/>
    <x v="1"/>
    <n v="3"/>
    <x v="1"/>
    <s v="late delivery"/>
  </r>
  <r>
    <m/>
    <x v="1"/>
    <s v="04-19-2024"/>
    <s v=""/>
    <s v="customer 419"/>
    <s v="Customer 419"/>
    <s v="EU"/>
    <x v="2"/>
    <s v="Online"/>
    <x v="0"/>
    <s v="phone"/>
    <x v="2"/>
    <n v="3"/>
    <n v="3"/>
    <n v="2574.38"/>
    <x v="307"/>
    <s v="USD"/>
    <s v="USD"/>
    <s v="Delivered"/>
    <x v="1"/>
    <n v="3"/>
    <x v="1"/>
    <s v="VIP"/>
  </r>
  <r>
    <s v="ORD-1420"/>
    <x v="262"/>
    <s v="2024-10-25"/>
    <d v="2024-10-25T00:00:00"/>
    <m/>
    <s v="Unknown Customer"/>
    <s v="U.S."/>
    <x v="3"/>
    <s v="Online"/>
    <x v="0"/>
    <s v="TABLET"/>
    <x v="0"/>
    <n v="1"/>
    <n v="1"/>
    <s v="$787.08"/>
    <x v="308"/>
    <s v="€"/>
    <s v="EUR"/>
    <s v="RETURNED"/>
    <x v="2"/>
    <n v="2"/>
    <x v="2"/>
    <m/>
  </r>
  <r>
    <m/>
    <x v="1"/>
    <s v="12-19-2024"/>
    <s v=""/>
    <s v="Customer 421"/>
    <s v="Customer 421"/>
    <m/>
    <x v="0"/>
    <s v="Web"/>
    <x v="0"/>
    <s v="phone"/>
    <x v="2"/>
    <n v="1"/>
    <n v="1"/>
    <n v="2123.4"/>
    <x v="309"/>
    <s v="EUR"/>
    <s v="EUR"/>
    <s v="RETURNED"/>
    <x v="2"/>
    <n v="3"/>
    <x v="1"/>
    <m/>
  </r>
  <r>
    <n v="1422"/>
    <x v="263"/>
    <s v="2024-08-01"/>
    <d v="2024-08-01T00:00:00"/>
    <m/>
    <s v="Unknown Customer"/>
    <s v="EU"/>
    <x v="2"/>
    <s v="Mobile"/>
    <x v="2"/>
    <s v="TABLET"/>
    <x v="0"/>
    <n v="1"/>
    <n v="1"/>
    <n v="2794.23"/>
    <x v="310"/>
    <s v="€"/>
    <s v="EUR"/>
    <s v="pending"/>
    <x v="0"/>
    <s v="five"/>
    <x v="0"/>
    <s v="late delivery"/>
  </r>
  <r>
    <n v="1423"/>
    <x v="264"/>
    <s v="2024-06-16"/>
    <d v="2024-06-16T00:00:00"/>
    <m/>
    <s v="Unknown Customer"/>
    <s v="europe"/>
    <x v="2"/>
    <s v="Web"/>
    <x v="0"/>
    <s v="TABLET"/>
    <x v="0"/>
    <m/>
    <s v="Unknown"/>
    <s v="1532.08 EUR"/>
    <x v="311"/>
    <s v="EUR"/>
    <s v="EUR"/>
    <s v="Delivered"/>
    <x v="1"/>
    <n v="5"/>
    <x v="0"/>
    <s v="VIP"/>
  </r>
  <r>
    <s v="ORD-1424"/>
    <x v="265"/>
    <s v="2025-02-06"/>
    <d v="2025-02-06T00:00:00"/>
    <m/>
    <s v="Unknown Customer"/>
    <s v="U.S."/>
    <x v="3"/>
    <m/>
    <x v="1"/>
    <s v="Laptop"/>
    <x v="1"/>
    <m/>
    <s v="Unknown"/>
    <s v="1213.25 EUR"/>
    <x v="312"/>
    <s v="$"/>
    <s v="USD"/>
    <s v="RETURNED"/>
    <x v="2"/>
    <n v="1"/>
    <x v="4"/>
    <m/>
  </r>
  <r>
    <n v="1425"/>
    <x v="266"/>
    <m/>
    <s v=""/>
    <s v="customer 425"/>
    <s v="Customer 425"/>
    <s v="europe"/>
    <x v="2"/>
    <s v="Mobile"/>
    <x v="2"/>
    <s v="TABLET"/>
    <x v="0"/>
    <m/>
    <s v="Unknown"/>
    <s v="1331.75 EUR"/>
    <x v="313"/>
    <s v="USD"/>
    <s v="USD"/>
    <s v="pending"/>
    <x v="0"/>
    <s v="five"/>
    <x v="0"/>
    <s v="late delivery"/>
  </r>
  <r>
    <s v="ORD-1426"/>
    <x v="267"/>
    <s v="2024-05-04"/>
    <d v="2024-05-04T00:00:00"/>
    <s v="Customer 426"/>
    <s v="Customer 426"/>
    <m/>
    <x v="0"/>
    <s v="Mobile"/>
    <x v="2"/>
    <s v="phone"/>
    <x v="2"/>
    <n v="3"/>
    <n v="3"/>
    <m/>
    <x v="7"/>
    <s v="€"/>
    <s v="EUR"/>
    <s v="Delivered"/>
    <x v="1"/>
    <n v="3"/>
    <x v="1"/>
    <s v="VIP"/>
  </r>
  <r>
    <n v="1427"/>
    <x v="268"/>
    <s v="10-31-2024"/>
    <s v=""/>
    <m/>
    <s v="Unknown Customer"/>
    <s v="U.S."/>
    <x v="3"/>
    <s v="Online"/>
    <x v="0"/>
    <s v="phone"/>
    <x v="2"/>
    <n v="1"/>
    <n v="1"/>
    <s v="$1983.46"/>
    <x v="314"/>
    <s v="USD"/>
    <s v="USD"/>
    <s v="Delivered"/>
    <x v="1"/>
    <m/>
    <x v="3"/>
    <s v="VIP"/>
  </r>
  <r>
    <n v="1428"/>
    <x v="269"/>
    <s v="2024-03-20"/>
    <d v="2024-03-20T00:00:00"/>
    <s v="customer 428"/>
    <s v="Customer 428"/>
    <s v="U.S."/>
    <x v="3"/>
    <s v="Online"/>
    <x v="0"/>
    <m/>
    <x v="3"/>
    <n v="3"/>
    <n v="3"/>
    <n v="2285.31"/>
    <x v="315"/>
    <s v="EUR"/>
    <s v="EUR"/>
    <s v="RETURNED"/>
    <x v="2"/>
    <m/>
    <x v="3"/>
    <m/>
  </r>
  <r>
    <s v="ORD-1429"/>
    <x v="270"/>
    <s v="05/06/2024"/>
    <d v="2024-06-05T00:00:00"/>
    <s v="customer 429"/>
    <s v="Customer 429"/>
    <s v="US"/>
    <x v="3"/>
    <s v="Web"/>
    <x v="0"/>
    <s v="TABLET"/>
    <x v="0"/>
    <n v="3"/>
    <n v="3"/>
    <n v="1377.68"/>
    <x v="316"/>
    <m/>
    <s v="Unknown"/>
    <s v="RETURNED"/>
    <x v="2"/>
    <s v="five"/>
    <x v="0"/>
    <s v="late delivery"/>
  </r>
  <r>
    <s v="ORD-1430"/>
    <x v="271"/>
    <s v="2024-12-21"/>
    <d v="2024-12-21T00:00:00"/>
    <s v="Cust. 430"/>
    <s v="Customer 430"/>
    <s v="US"/>
    <x v="3"/>
    <s v="Online"/>
    <x v="0"/>
    <s v="phone"/>
    <x v="2"/>
    <n v="2"/>
    <n v="2"/>
    <n v="2111.33"/>
    <x v="317"/>
    <m/>
    <s v="Unknown"/>
    <s v="RETURNED"/>
    <x v="2"/>
    <n v="1"/>
    <x v="4"/>
    <m/>
  </r>
  <r>
    <s v="ORD-1431"/>
    <x v="272"/>
    <s v="12-01-2024"/>
    <d v="2024-01-12T00:00:00"/>
    <s v="Cust. 431"/>
    <s v="Customer 431"/>
    <m/>
    <x v="0"/>
    <s v="Online"/>
    <x v="0"/>
    <s v="Laptop"/>
    <x v="1"/>
    <n v="3"/>
    <n v="3"/>
    <n v="2838.27"/>
    <x v="318"/>
    <s v="$"/>
    <s v="USD"/>
    <s v="Delivered"/>
    <x v="1"/>
    <n v="5"/>
    <x v="0"/>
    <m/>
  </r>
  <r>
    <n v="1432"/>
    <x v="273"/>
    <s v="10/06/2024"/>
    <d v="2024-06-10T00:00:00"/>
    <m/>
    <s v="Unknown Customer"/>
    <s v="U.S."/>
    <x v="3"/>
    <m/>
    <x v="1"/>
    <s v="Laptop"/>
    <x v="1"/>
    <n v="1"/>
    <n v="1"/>
    <n v="1479.75"/>
    <x v="319"/>
    <s v="USD"/>
    <s v="USD"/>
    <s v="pending"/>
    <x v="0"/>
    <n v="3"/>
    <x v="1"/>
    <s v="VIP"/>
  </r>
  <r>
    <n v="1433"/>
    <x v="274"/>
    <s v="09-07-2024"/>
    <d v="2024-07-09T00:00:00"/>
    <s v="Cust. 433"/>
    <s v="Customer 433"/>
    <s v="Asia"/>
    <x v="1"/>
    <m/>
    <x v="1"/>
    <s v="phone"/>
    <x v="2"/>
    <n v="2"/>
    <n v="2"/>
    <s v="1210.53 EUR"/>
    <x v="320"/>
    <m/>
    <s v="Unknown"/>
    <s v="RETURNED"/>
    <x v="2"/>
    <n v="1"/>
    <x v="4"/>
    <s v="VIP"/>
  </r>
  <r>
    <m/>
    <x v="1"/>
    <s v="07-17-2024"/>
    <s v=""/>
    <s v="customer 434"/>
    <s v="Customer 434"/>
    <s v="US"/>
    <x v="3"/>
    <s v="Mobile"/>
    <x v="2"/>
    <s v="phone"/>
    <x v="2"/>
    <n v="2"/>
    <n v="2"/>
    <n v="2676.69"/>
    <x v="321"/>
    <s v="EUR"/>
    <s v="EUR"/>
    <m/>
    <x v="3"/>
    <n v="5"/>
    <x v="0"/>
    <s v="late delivery"/>
  </r>
  <r>
    <s v="ORD-1435"/>
    <x v="275"/>
    <s v="08-01-2024"/>
    <d v="2024-01-08T00:00:00"/>
    <s v="Cust. 435"/>
    <s v="Customer 435"/>
    <s v="europe"/>
    <x v="2"/>
    <s v="Web"/>
    <x v="0"/>
    <s v="Lapotp"/>
    <x v="1"/>
    <n v="2"/>
    <n v="2"/>
    <s v="759.06 EUR"/>
    <x v="322"/>
    <s v="USD"/>
    <s v="USD"/>
    <s v="pending"/>
    <x v="0"/>
    <s v="five"/>
    <x v="0"/>
    <s v="late delivery"/>
  </r>
  <r>
    <s v="ORD-1436"/>
    <x v="276"/>
    <s v="11/03/2024"/>
    <d v="2024-03-11T00:00:00"/>
    <s v="customer 436"/>
    <s v="Customer 436"/>
    <s v="Asia"/>
    <x v="1"/>
    <s v="Online"/>
    <x v="0"/>
    <s v="TABLET"/>
    <x v="0"/>
    <m/>
    <s v="Unknown"/>
    <s v="961.55 EUR"/>
    <x v="323"/>
    <s v="EUR"/>
    <s v="EUR"/>
    <s v="Delivered"/>
    <x v="1"/>
    <n v="3"/>
    <x v="1"/>
    <s v="late delivery"/>
  </r>
  <r>
    <s v="ORD-1437"/>
    <x v="277"/>
    <m/>
    <s v=""/>
    <s v="Cust. 437"/>
    <s v="Customer 437"/>
    <s v="europe"/>
    <x v="2"/>
    <m/>
    <x v="1"/>
    <m/>
    <x v="3"/>
    <n v="3"/>
    <n v="3"/>
    <s v="$136.98"/>
    <x v="324"/>
    <s v="USD"/>
    <s v="USD"/>
    <s v="Delivered"/>
    <x v="1"/>
    <n v="1"/>
    <x v="4"/>
    <s v="late delivery"/>
  </r>
  <r>
    <m/>
    <x v="1"/>
    <s v="04/04/2024"/>
    <d v="2024-04-04T00:00:00"/>
    <s v="customer 438"/>
    <s v="Customer 438"/>
    <s v="US"/>
    <x v="3"/>
    <m/>
    <x v="1"/>
    <s v="Laptop"/>
    <x v="1"/>
    <n v="3"/>
    <n v="3"/>
    <s v="$127.28"/>
    <x v="325"/>
    <s v="EUR"/>
    <s v="EUR"/>
    <m/>
    <x v="3"/>
    <n v="5"/>
    <x v="0"/>
    <s v="late delivery"/>
  </r>
  <r>
    <m/>
    <x v="1"/>
    <s v="09-14-2024"/>
    <s v=""/>
    <s v="customer 439"/>
    <s v="Customer 439"/>
    <m/>
    <x v="0"/>
    <s v="Mobile"/>
    <x v="2"/>
    <s v="phone"/>
    <x v="2"/>
    <s v="two"/>
    <n v="2"/>
    <m/>
    <x v="7"/>
    <s v="USD"/>
    <s v="USD"/>
    <s v="Delivered"/>
    <x v="1"/>
    <n v="2"/>
    <x v="2"/>
    <s v="late delivery"/>
  </r>
  <r>
    <s v="ORD-1440"/>
    <x v="278"/>
    <m/>
    <s v=""/>
    <s v="customer 440"/>
    <s v="Customer 440"/>
    <m/>
    <x v="0"/>
    <m/>
    <x v="1"/>
    <s v="Lapotp"/>
    <x v="1"/>
    <n v="2"/>
    <n v="2"/>
    <n v="1255.3399999999999"/>
    <x v="326"/>
    <s v="EUR"/>
    <s v="EUR"/>
    <s v="Delivered"/>
    <x v="1"/>
    <n v="5"/>
    <x v="0"/>
    <m/>
  </r>
  <r>
    <n v="1441"/>
    <x v="279"/>
    <m/>
    <s v=""/>
    <m/>
    <s v="Unknown Customer"/>
    <m/>
    <x v="0"/>
    <s v="Online"/>
    <x v="0"/>
    <s v="TABLET"/>
    <x v="0"/>
    <s v="two"/>
    <n v="2"/>
    <m/>
    <x v="7"/>
    <s v="€"/>
    <s v="EUR"/>
    <s v="RETURNED"/>
    <x v="2"/>
    <s v="five"/>
    <x v="0"/>
    <m/>
  </r>
  <r>
    <n v="1442"/>
    <x v="280"/>
    <s v="23/09/2024"/>
    <d v="2024-09-23T00:00:00"/>
    <m/>
    <s v="Unknown Customer"/>
    <m/>
    <x v="0"/>
    <s v="Online"/>
    <x v="0"/>
    <s v="TABLET"/>
    <x v="0"/>
    <s v="two"/>
    <n v="2"/>
    <m/>
    <x v="7"/>
    <m/>
    <s v="Unknown"/>
    <m/>
    <x v="3"/>
    <n v="1"/>
    <x v="4"/>
    <s v="late delivery"/>
  </r>
  <r>
    <s v="ORD-1443"/>
    <x v="281"/>
    <m/>
    <s v=""/>
    <s v="customer 443"/>
    <s v="Customer 443"/>
    <s v="europe"/>
    <x v="2"/>
    <s v="Mobile"/>
    <x v="2"/>
    <s v="TABLET"/>
    <x v="0"/>
    <n v="1"/>
    <n v="1"/>
    <s v="$1346.68"/>
    <x v="327"/>
    <m/>
    <s v="Unknown"/>
    <s v="Delivered"/>
    <x v="1"/>
    <n v="5"/>
    <x v="0"/>
    <m/>
  </r>
  <r>
    <n v="1444"/>
    <x v="282"/>
    <s v="16/02/2024"/>
    <d v="2024-02-16T00:00:00"/>
    <m/>
    <s v="Unknown Customer"/>
    <s v="europe"/>
    <x v="2"/>
    <s v="Mobile"/>
    <x v="2"/>
    <s v="phone"/>
    <x v="2"/>
    <n v="1"/>
    <n v="1"/>
    <n v="2181.81"/>
    <x v="328"/>
    <s v="USD"/>
    <s v="USD"/>
    <s v="RETURNED"/>
    <x v="2"/>
    <s v="five"/>
    <x v="0"/>
    <s v="late delivery"/>
  </r>
  <r>
    <m/>
    <x v="1"/>
    <s v="20/08/2024"/>
    <d v="2024-08-20T00:00:00"/>
    <s v="Customer 445"/>
    <s v="Customer 445"/>
    <s v="EU"/>
    <x v="2"/>
    <s v="Online"/>
    <x v="0"/>
    <s v="TABLET"/>
    <x v="0"/>
    <s v="two"/>
    <n v="2"/>
    <s v="$316.03"/>
    <x v="329"/>
    <s v="€"/>
    <s v="EUR"/>
    <s v="Delivered"/>
    <x v="1"/>
    <s v="five"/>
    <x v="0"/>
    <m/>
  </r>
  <r>
    <s v="ORD-1446"/>
    <x v="283"/>
    <m/>
    <s v=""/>
    <s v="Customer 446"/>
    <s v="Customer 446"/>
    <m/>
    <x v="0"/>
    <s v="Online"/>
    <x v="0"/>
    <s v="phone"/>
    <x v="2"/>
    <m/>
    <s v="Unknown"/>
    <s v="2383.65 EUR"/>
    <x v="330"/>
    <s v="USD"/>
    <s v="USD"/>
    <s v="Delivered"/>
    <x v="1"/>
    <n v="2"/>
    <x v="2"/>
    <s v="late delivery"/>
  </r>
  <r>
    <s v="ORD-1447"/>
    <x v="284"/>
    <s v="01-28-2025"/>
    <s v=""/>
    <m/>
    <s v="Unknown Customer"/>
    <s v="Asia"/>
    <x v="1"/>
    <m/>
    <x v="1"/>
    <s v="Lapotp"/>
    <x v="1"/>
    <n v="1"/>
    <n v="1"/>
    <m/>
    <x v="7"/>
    <s v="USD"/>
    <s v="USD"/>
    <s v="Delivered"/>
    <x v="1"/>
    <n v="1"/>
    <x v="4"/>
    <s v="VIP"/>
  </r>
  <r>
    <m/>
    <x v="1"/>
    <s v="2024-01-07"/>
    <d v="2024-01-07T00:00:00"/>
    <m/>
    <s v="Unknown Customer"/>
    <s v="US"/>
    <x v="3"/>
    <s v="Online"/>
    <x v="0"/>
    <s v="TABLET"/>
    <x v="0"/>
    <s v="two"/>
    <n v="2"/>
    <m/>
    <x v="7"/>
    <s v="$"/>
    <s v="USD"/>
    <s v="RETURNED"/>
    <x v="2"/>
    <n v="5"/>
    <x v="0"/>
    <m/>
  </r>
  <r>
    <m/>
    <x v="1"/>
    <s v="11-03-2024"/>
    <d v="2024-03-11T00:00:00"/>
    <s v="customer 449"/>
    <s v="Customer 449"/>
    <s v="EU"/>
    <x v="2"/>
    <s v="Online"/>
    <x v="0"/>
    <s v="Lapotp"/>
    <x v="1"/>
    <n v="1"/>
    <n v="1"/>
    <s v="1820.3 EUR"/>
    <x v="331"/>
    <s v="€"/>
    <s v="EUR"/>
    <s v="Delivered"/>
    <x v="1"/>
    <n v="2"/>
    <x v="2"/>
    <m/>
  </r>
  <r>
    <s v="ORD-1450"/>
    <x v="285"/>
    <s v="2024-12-07"/>
    <d v="2024-12-07T00:00:00"/>
    <s v="Customer 450"/>
    <s v="Customer 450"/>
    <s v="EU"/>
    <x v="2"/>
    <s v="Mobile"/>
    <x v="2"/>
    <s v="Lapotp"/>
    <x v="1"/>
    <n v="2"/>
    <n v="2"/>
    <s v="$1755.37"/>
    <x v="332"/>
    <s v="€"/>
    <s v="EUR"/>
    <s v="pending"/>
    <x v="0"/>
    <m/>
    <x v="3"/>
    <s v="late delivery"/>
  </r>
  <r>
    <n v="1451"/>
    <x v="286"/>
    <s v="2024-08-21"/>
    <d v="2024-08-21T00:00:00"/>
    <s v="Cust. 451"/>
    <s v="Customer 451"/>
    <s v="Asia"/>
    <x v="1"/>
    <s v="Mobile"/>
    <x v="2"/>
    <s v="phone"/>
    <x v="2"/>
    <n v="1"/>
    <n v="1"/>
    <s v="$2260.54"/>
    <x v="333"/>
    <s v="$"/>
    <s v="USD"/>
    <s v="pending"/>
    <x v="0"/>
    <n v="1"/>
    <x v="4"/>
    <s v="VIP"/>
  </r>
  <r>
    <s v="ORD-1452"/>
    <x v="287"/>
    <m/>
    <s v=""/>
    <s v="customer 452"/>
    <s v="Customer 452"/>
    <m/>
    <x v="0"/>
    <s v="Online"/>
    <x v="0"/>
    <s v="TABLET"/>
    <x v="0"/>
    <n v="1"/>
    <n v="1"/>
    <s v="$446.91"/>
    <x v="334"/>
    <s v="EUR"/>
    <s v="EUR"/>
    <s v="pending"/>
    <x v="0"/>
    <m/>
    <x v="3"/>
    <m/>
  </r>
  <r>
    <s v="ORD-1453"/>
    <x v="288"/>
    <s v="09-04-2024"/>
    <d v="2024-04-09T00:00:00"/>
    <s v="Cust. 453"/>
    <s v="Customer 453"/>
    <s v="U.S."/>
    <x v="3"/>
    <s v="Web"/>
    <x v="0"/>
    <s v="TABLET"/>
    <x v="0"/>
    <n v="3"/>
    <n v="3"/>
    <s v="$2186.02"/>
    <x v="335"/>
    <s v="USD"/>
    <s v="USD"/>
    <s v="pending"/>
    <x v="0"/>
    <s v="five"/>
    <x v="0"/>
    <m/>
  </r>
  <r>
    <s v="ORD-1454"/>
    <x v="289"/>
    <s v="23/09/2024"/>
    <d v="2024-09-23T00:00:00"/>
    <s v="customer 454"/>
    <s v="Customer 454"/>
    <m/>
    <x v="0"/>
    <s v="Mobile"/>
    <x v="2"/>
    <s v="Lapotp"/>
    <x v="1"/>
    <n v="1"/>
    <n v="1"/>
    <m/>
    <x v="7"/>
    <s v="EUR"/>
    <s v="EUR"/>
    <s v="Delivered"/>
    <x v="1"/>
    <n v="5"/>
    <x v="0"/>
    <m/>
  </r>
  <r>
    <s v="ORD-1455"/>
    <x v="290"/>
    <s v="2025-01-12"/>
    <d v="2025-01-12T00:00:00"/>
    <s v="Cust. 455"/>
    <s v="Customer 455"/>
    <s v="Asia"/>
    <x v="1"/>
    <s v="Web"/>
    <x v="0"/>
    <m/>
    <x v="3"/>
    <n v="2"/>
    <n v="2"/>
    <m/>
    <x v="7"/>
    <s v="EUR"/>
    <s v="EUR"/>
    <m/>
    <x v="3"/>
    <n v="2"/>
    <x v="2"/>
    <s v="VIP"/>
  </r>
  <r>
    <s v="ORD-1456"/>
    <x v="291"/>
    <s v="05-10-2024"/>
    <d v="2024-10-05T00:00:00"/>
    <s v="Customer 456"/>
    <s v="Customer 456"/>
    <s v="EU"/>
    <x v="2"/>
    <m/>
    <x v="1"/>
    <s v="phone"/>
    <x v="2"/>
    <n v="3"/>
    <n v="3"/>
    <s v="$2381.08"/>
    <x v="336"/>
    <s v="$"/>
    <s v="USD"/>
    <m/>
    <x v="3"/>
    <s v="five"/>
    <x v="0"/>
    <m/>
  </r>
  <r>
    <m/>
    <x v="1"/>
    <m/>
    <s v=""/>
    <m/>
    <s v="Unknown Customer"/>
    <m/>
    <x v="0"/>
    <s v="Online"/>
    <x v="0"/>
    <s v="TABLET"/>
    <x v="0"/>
    <n v="2"/>
    <n v="2"/>
    <s v="$622.35"/>
    <x v="337"/>
    <s v="$"/>
    <s v="USD"/>
    <s v="Delivered"/>
    <x v="1"/>
    <m/>
    <x v="3"/>
    <m/>
  </r>
  <r>
    <s v="ORD-1458"/>
    <x v="292"/>
    <s v="2024-10-01"/>
    <d v="2024-10-01T00:00:00"/>
    <s v="Cust. 458"/>
    <s v="Customer 458"/>
    <s v="U.S."/>
    <x v="3"/>
    <m/>
    <x v="1"/>
    <s v="TABLET"/>
    <x v="0"/>
    <n v="3"/>
    <n v="3"/>
    <m/>
    <x v="7"/>
    <m/>
    <s v="Unknown"/>
    <s v="pending"/>
    <x v="0"/>
    <n v="1"/>
    <x v="4"/>
    <s v="late delivery"/>
  </r>
  <r>
    <n v="1459"/>
    <x v="293"/>
    <s v="22/10/2024"/>
    <d v="2024-10-22T00:00:00"/>
    <s v="Cust. 459"/>
    <s v="Customer 459"/>
    <m/>
    <x v="0"/>
    <s v="Online"/>
    <x v="0"/>
    <s v="phone"/>
    <x v="2"/>
    <s v="two"/>
    <n v="2"/>
    <s v="$2072.21"/>
    <x v="338"/>
    <m/>
    <s v="Unknown"/>
    <s v="Delivered"/>
    <x v="1"/>
    <s v="five"/>
    <x v="0"/>
    <m/>
  </r>
  <r>
    <m/>
    <x v="1"/>
    <s v="04-05-2024"/>
    <d v="2024-05-04T00:00:00"/>
    <s v="Customer 460"/>
    <s v="Customer 460"/>
    <s v="Asia"/>
    <x v="1"/>
    <s v="Mobile"/>
    <x v="2"/>
    <s v="Laptop"/>
    <x v="1"/>
    <s v="two"/>
    <n v="2"/>
    <s v="$1805.82"/>
    <x v="339"/>
    <s v="USD"/>
    <s v="USD"/>
    <s v="RETURNED"/>
    <x v="2"/>
    <n v="5"/>
    <x v="0"/>
    <s v="VIP"/>
  </r>
  <r>
    <n v="1461"/>
    <x v="294"/>
    <s v="04-20-2024"/>
    <s v=""/>
    <s v="Customer 461"/>
    <s v="Customer 461"/>
    <m/>
    <x v="0"/>
    <s v="Online"/>
    <x v="0"/>
    <s v="Laptop"/>
    <x v="1"/>
    <s v="two"/>
    <n v="2"/>
    <s v="1599.05 EUR"/>
    <x v="340"/>
    <m/>
    <s v="Unknown"/>
    <s v="Delivered"/>
    <x v="1"/>
    <n v="5"/>
    <x v="0"/>
    <s v="late delivery"/>
  </r>
  <r>
    <m/>
    <x v="1"/>
    <s v="04-07-2024"/>
    <d v="2024-07-04T00:00:00"/>
    <s v="Cust. 462"/>
    <s v="Customer 462"/>
    <s v="US"/>
    <x v="3"/>
    <s v="Online"/>
    <x v="0"/>
    <m/>
    <x v="3"/>
    <m/>
    <s v="Unknown"/>
    <m/>
    <x v="7"/>
    <s v="USD"/>
    <s v="USD"/>
    <s v="Delivered"/>
    <x v="1"/>
    <m/>
    <x v="3"/>
    <m/>
  </r>
  <r>
    <n v="1463"/>
    <x v="295"/>
    <s v="08-23-2024"/>
    <s v=""/>
    <s v="Customer 463"/>
    <s v="Customer 463"/>
    <m/>
    <x v="0"/>
    <s v="Web"/>
    <x v="0"/>
    <m/>
    <x v="3"/>
    <n v="1"/>
    <n v="1"/>
    <n v="1193.3900000000001"/>
    <x v="341"/>
    <s v="€"/>
    <s v="EUR"/>
    <s v="RETURNED"/>
    <x v="2"/>
    <n v="1"/>
    <x v="4"/>
    <m/>
  </r>
  <r>
    <n v="1464"/>
    <x v="296"/>
    <s v="09-23-2024"/>
    <s v=""/>
    <s v="customer 464"/>
    <s v="Customer 464"/>
    <s v="Asia"/>
    <x v="1"/>
    <s v="Online"/>
    <x v="0"/>
    <s v="Lapotp"/>
    <x v="1"/>
    <n v="3"/>
    <n v="3"/>
    <s v="$2310.23"/>
    <x v="342"/>
    <s v="€"/>
    <s v="EUR"/>
    <s v="pending"/>
    <x v="0"/>
    <n v="3"/>
    <x v="1"/>
    <m/>
  </r>
  <r>
    <n v="1465"/>
    <x v="297"/>
    <s v="12-09-2024"/>
    <d v="2024-09-12T00:00:00"/>
    <s v="Customer 465"/>
    <s v="Customer 465"/>
    <s v="EU"/>
    <x v="2"/>
    <s v="Web"/>
    <x v="0"/>
    <s v="TABLET"/>
    <x v="0"/>
    <m/>
    <s v="Unknown"/>
    <s v="397.07 EUR"/>
    <x v="343"/>
    <s v="EUR"/>
    <s v="EUR"/>
    <s v="Delivered"/>
    <x v="1"/>
    <s v="five"/>
    <x v="0"/>
    <s v="VIP"/>
  </r>
  <r>
    <m/>
    <x v="1"/>
    <s v="10-08-2024"/>
    <d v="2024-08-10T00:00:00"/>
    <s v="customer 466"/>
    <s v="Customer 466"/>
    <s v="US"/>
    <x v="3"/>
    <s v="Online"/>
    <x v="0"/>
    <s v="phone"/>
    <x v="2"/>
    <m/>
    <s v="Unknown"/>
    <s v="989.53 EUR"/>
    <x v="344"/>
    <s v="€"/>
    <s v="EUR"/>
    <s v="pending"/>
    <x v="0"/>
    <n v="5"/>
    <x v="0"/>
    <m/>
  </r>
  <r>
    <n v="1467"/>
    <x v="298"/>
    <m/>
    <s v=""/>
    <s v="Customer 467"/>
    <s v="Customer 467"/>
    <s v="EU"/>
    <x v="2"/>
    <s v="Mobile"/>
    <x v="2"/>
    <s v="phone"/>
    <x v="2"/>
    <n v="2"/>
    <n v="2"/>
    <n v="135.53"/>
    <x v="345"/>
    <m/>
    <s v="Unknown"/>
    <s v="pending"/>
    <x v="0"/>
    <m/>
    <x v="3"/>
    <m/>
  </r>
  <r>
    <n v="1468"/>
    <x v="299"/>
    <s v="2024-11-11"/>
    <d v="2024-11-11T00:00:00"/>
    <m/>
    <s v="Unknown Customer"/>
    <s v="U.S."/>
    <x v="3"/>
    <s v="Online"/>
    <x v="0"/>
    <s v="Laptop"/>
    <x v="1"/>
    <s v="two"/>
    <n v="2"/>
    <s v="$1099.09"/>
    <x v="346"/>
    <s v="EUR"/>
    <s v="EUR"/>
    <s v="RETURNED"/>
    <x v="2"/>
    <n v="3"/>
    <x v="1"/>
    <m/>
  </r>
  <r>
    <n v="1469"/>
    <x v="300"/>
    <s v="08-28-2024"/>
    <s v=""/>
    <s v="Cust. 469"/>
    <s v="Customer 469"/>
    <s v="europe"/>
    <x v="2"/>
    <s v="Online"/>
    <x v="0"/>
    <s v="TABLET"/>
    <x v="0"/>
    <n v="3"/>
    <n v="3"/>
    <s v="733.5 EUR"/>
    <x v="347"/>
    <s v="€"/>
    <s v="EUR"/>
    <s v="RETURNED"/>
    <x v="2"/>
    <n v="5"/>
    <x v="0"/>
    <m/>
  </r>
  <r>
    <s v="ORD-1470"/>
    <x v="301"/>
    <m/>
    <s v=""/>
    <s v="customer 470"/>
    <s v="Customer 470"/>
    <s v="Asia"/>
    <x v="1"/>
    <s v="Mobile"/>
    <x v="2"/>
    <s v="TABLET"/>
    <x v="0"/>
    <m/>
    <s v="Unknown"/>
    <s v="$1452.24"/>
    <x v="348"/>
    <s v="USD"/>
    <s v="USD"/>
    <s v="pending"/>
    <x v="0"/>
    <n v="1"/>
    <x v="4"/>
    <m/>
  </r>
  <r>
    <s v="ORD-1471"/>
    <x v="302"/>
    <s v="2025-02-22"/>
    <d v="2025-02-22T00:00:00"/>
    <s v="Cust. 471"/>
    <s v="Customer 471"/>
    <s v="U.S."/>
    <x v="3"/>
    <s v="Mobile"/>
    <x v="2"/>
    <s v="phone"/>
    <x v="2"/>
    <m/>
    <s v="Unknown"/>
    <n v="2157.11"/>
    <x v="349"/>
    <s v="$"/>
    <s v="USD"/>
    <s v="Delivered"/>
    <x v="1"/>
    <s v="five"/>
    <x v="0"/>
    <s v="late delivery"/>
  </r>
  <r>
    <s v="ORD-1472"/>
    <x v="303"/>
    <s v="2024-10-07"/>
    <d v="2024-10-07T00:00:00"/>
    <s v="Cust. 472"/>
    <s v="Customer 472"/>
    <s v="US"/>
    <x v="3"/>
    <m/>
    <x v="1"/>
    <s v="TABLET"/>
    <x v="0"/>
    <s v="two"/>
    <n v="2"/>
    <m/>
    <x v="7"/>
    <s v="$"/>
    <s v="USD"/>
    <s v="pending"/>
    <x v="0"/>
    <n v="3"/>
    <x v="1"/>
    <s v="late delivery"/>
  </r>
  <r>
    <m/>
    <x v="1"/>
    <m/>
    <s v=""/>
    <s v="Customer 473"/>
    <s v="Customer 473"/>
    <s v="U.S."/>
    <x v="3"/>
    <s v="Web"/>
    <x v="0"/>
    <s v="phone"/>
    <x v="2"/>
    <n v="3"/>
    <n v="3"/>
    <n v="2004.71"/>
    <x v="350"/>
    <m/>
    <s v="Unknown"/>
    <s v="Delivered"/>
    <x v="1"/>
    <n v="5"/>
    <x v="0"/>
    <s v="late delivery"/>
  </r>
  <r>
    <m/>
    <x v="1"/>
    <s v="2024-06-06"/>
    <d v="2024-06-06T00:00:00"/>
    <m/>
    <s v="Unknown Customer"/>
    <s v="Asia"/>
    <x v="1"/>
    <s v="Mobile"/>
    <x v="2"/>
    <s v="TABLET"/>
    <x v="0"/>
    <n v="1"/>
    <n v="1"/>
    <n v="2869.86"/>
    <x v="351"/>
    <s v="EUR"/>
    <s v="EUR"/>
    <s v="Delivered"/>
    <x v="1"/>
    <n v="2"/>
    <x v="2"/>
    <m/>
  </r>
  <r>
    <s v="ORD-1475"/>
    <x v="304"/>
    <s v="01-22-2025"/>
    <s v=""/>
    <m/>
    <s v="Unknown Customer"/>
    <s v="U.S."/>
    <x v="3"/>
    <s v="Web"/>
    <x v="0"/>
    <s v="phone"/>
    <x v="2"/>
    <n v="2"/>
    <n v="2"/>
    <s v="482.84 EUR"/>
    <x v="352"/>
    <s v="USD"/>
    <s v="USD"/>
    <m/>
    <x v="3"/>
    <n v="3"/>
    <x v="1"/>
    <s v="VIP"/>
  </r>
  <r>
    <s v="ORD-1476"/>
    <x v="305"/>
    <s v="10-18-2024"/>
    <s v=""/>
    <s v="Customer 476"/>
    <s v="Customer 476"/>
    <s v="U.S."/>
    <x v="3"/>
    <s v="Online"/>
    <x v="0"/>
    <s v="TABLET"/>
    <x v="0"/>
    <m/>
    <s v="Unknown"/>
    <s v="$2393.32"/>
    <x v="353"/>
    <s v="$"/>
    <s v="USD"/>
    <s v="Delivered"/>
    <x v="1"/>
    <n v="3"/>
    <x v="1"/>
    <m/>
  </r>
  <r>
    <n v="1477"/>
    <x v="306"/>
    <s v="07-08-2024"/>
    <d v="2024-08-07T00:00:00"/>
    <s v="Customer 477"/>
    <s v="Customer 477"/>
    <m/>
    <x v="0"/>
    <s v="Mobile"/>
    <x v="2"/>
    <m/>
    <x v="3"/>
    <n v="1"/>
    <n v="1"/>
    <n v="2708.17"/>
    <x v="354"/>
    <s v="USD"/>
    <s v="USD"/>
    <s v="RETURNED"/>
    <x v="2"/>
    <m/>
    <x v="3"/>
    <m/>
  </r>
  <r>
    <s v="ORD-1478"/>
    <x v="307"/>
    <m/>
    <s v=""/>
    <m/>
    <s v="Unknown Customer"/>
    <s v="U.S."/>
    <x v="3"/>
    <s v="Online"/>
    <x v="0"/>
    <s v="TABLET"/>
    <x v="0"/>
    <n v="2"/>
    <n v="2"/>
    <m/>
    <x v="7"/>
    <s v="$"/>
    <s v="USD"/>
    <s v="Delivered"/>
    <x v="1"/>
    <n v="2"/>
    <x v="2"/>
    <m/>
  </r>
  <r>
    <s v="ORD-1479"/>
    <x v="308"/>
    <s v="03/07/2024"/>
    <d v="2024-07-03T00:00:00"/>
    <s v="customer 479"/>
    <s v="Customer 479"/>
    <s v="EU"/>
    <x v="2"/>
    <s v="Online"/>
    <x v="0"/>
    <s v="TABLET"/>
    <x v="0"/>
    <n v="1"/>
    <n v="1"/>
    <s v="2527.89 EUR"/>
    <x v="355"/>
    <s v="USD"/>
    <s v="USD"/>
    <m/>
    <x v="3"/>
    <n v="5"/>
    <x v="0"/>
    <m/>
  </r>
  <r>
    <s v="ORD-1480"/>
    <x v="309"/>
    <m/>
    <s v=""/>
    <s v="customer 480"/>
    <s v="Customer 480"/>
    <s v="europe"/>
    <x v="2"/>
    <s v="Web"/>
    <x v="0"/>
    <s v="phone"/>
    <x v="2"/>
    <m/>
    <s v="Unknown"/>
    <m/>
    <x v="7"/>
    <s v="$"/>
    <s v="USD"/>
    <s v="RETURNED"/>
    <x v="2"/>
    <n v="3"/>
    <x v="1"/>
    <s v="late delivery"/>
  </r>
  <r>
    <m/>
    <x v="1"/>
    <m/>
    <s v=""/>
    <s v="customer 481"/>
    <s v="Customer 481"/>
    <m/>
    <x v="0"/>
    <s v="Web"/>
    <x v="0"/>
    <s v="phone"/>
    <x v="2"/>
    <s v="two"/>
    <n v="2"/>
    <n v="1303.08"/>
    <x v="356"/>
    <m/>
    <s v="Unknown"/>
    <s v="pending"/>
    <x v="0"/>
    <n v="3"/>
    <x v="1"/>
    <m/>
  </r>
  <r>
    <n v="1482"/>
    <x v="310"/>
    <m/>
    <s v=""/>
    <s v="Customer 482"/>
    <s v="Customer 482"/>
    <s v="US"/>
    <x v="3"/>
    <m/>
    <x v="1"/>
    <s v="TABLET"/>
    <x v="0"/>
    <m/>
    <s v="Unknown"/>
    <s v="$1726.04"/>
    <x v="357"/>
    <s v="€"/>
    <s v="EUR"/>
    <s v="RETURNED"/>
    <x v="2"/>
    <s v="five"/>
    <x v="0"/>
    <m/>
  </r>
  <r>
    <n v="1483"/>
    <x v="311"/>
    <m/>
    <s v=""/>
    <s v="Customer 483"/>
    <s v="Customer 483"/>
    <m/>
    <x v="0"/>
    <m/>
    <x v="1"/>
    <s v="TABLET"/>
    <x v="0"/>
    <m/>
    <s v="Unknown"/>
    <n v="2675.25"/>
    <x v="358"/>
    <s v="€"/>
    <s v="EUR"/>
    <s v="pending"/>
    <x v="0"/>
    <n v="1"/>
    <x v="4"/>
    <s v="VIP"/>
  </r>
  <r>
    <s v="ORD-1484"/>
    <x v="312"/>
    <m/>
    <s v=""/>
    <s v="Cust. 484"/>
    <s v="Customer 484"/>
    <s v="europe"/>
    <x v="2"/>
    <s v="Mobile"/>
    <x v="2"/>
    <m/>
    <x v="3"/>
    <n v="3"/>
    <n v="3"/>
    <m/>
    <x v="7"/>
    <s v="€"/>
    <s v="EUR"/>
    <s v="Delivered"/>
    <x v="1"/>
    <n v="1"/>
    <x v="4"/>
    <s v="VIP"/>
  </r>
  <r>
    <n v="1485"/>
    <x v="313"/>
    <m/>
    <s v=""/>
    <s v="customer 485"/>
    <s v="Customer 485"/>
    <s v="U.S."/>
    <x v="3"/>
    <s v="Online"/>
    <x v="0"/>
    <s v="TABLET"/>
    <x v="0"/>
    <n v="3"/>
    <n v="3"/>
    <s v="$2365.81"/>
    <x v="359"/>
    <m/>
    <s v="Unknown"/>
    <s v="Delivered"/>
    <x v="1"/>
    <n v="3"/>
    <x v="1"/>
    <m/>
  </r>
  <r>
    <s v="ORD-1486"/>
    <x v="314"/>
    <s v="02-12-2024"/>
    <d v="2024-12-02T00:00:00"/>
    <s v="customer 486"/>
    <s v="Customer 486"/>
    <s v="U.S."/>
    <x v="3"/>
    <s v="Mobile"/>
    <x v="2"/>
    <s v="phone"/>
    <x v="2"/>
    <n v="3"/>
    <n v="3"/>
    <n v="424.12"/>
    <x v="360"/>
    <s v="EUR"/>
    <s v="EUR"/>
    <m/>
    <x v="3"/>
    <n v="1"/>
    <x v="4"/>
    <s v="late delivery"/>
  </r>
  <r>
    <s v="ORD-1487"/>
    <x v="315"/>
    <s v="29/10/2024"/>
    <d v="2024-10-29T00:00:00"/>
    <s v="Cust. 487"/>
    <s v="Customer 487"/>
    <m/>
    <x v="0"/>
    <m/>
    <x v="1"/>
    <s v="Lapotp"/>
    <x v="1"/>
    <s v="two"/>
    <n v="2"/>
    <m/>
    <x v="7"/>
    <s v="USD"/>
    <s v="USD"/>
    <s v="pending"/>
    <x v="0"/>
    <n v="1"/>
    <x v="4"/>
    <s v="VIP"/>
  </r>
  <r>
    <s v="ORD-1488"/>
    <x v="316"/>
    <m/>
    <s v=""/>
    <m/>
    <s v="Unknown Customer"/>
    <s v="US"/>
    <x v="3"/>
    <m/>
    <x v="1"/>
    <s v="phone"/>
    <x v="2"/>
    <n v="2"/>
    <n v="2"/>
    <s v="2903.67 EUR"/>
    <x v="361"/>
    <s v="USD"/>
    <s v="USD"/>
    <s v="pending"/>
    <x v="0"/>
    <m/>
    <x v="3"/>
    <s v="VIP"/>
  </r>
  <r>
    <n v="1489"/>
    <x v="317"/>
    <s v="28/01/2024"/>
    <d v="2024-01-28T00:00:00"/>
    <m/>
    <s v="Unknown Customer"/>
    <s v="europe"/>
    <x v="2"/>
    <s v="Mobile"/>
    <x v="2"/>
    <s v="phone"/>
    <x v="2"/>
    <s v="two"/>
    <n v="2"/>
    <n v="1944.67"/>
    <x v="362"/>
    <m/>
    <s v="Unknown"/>
    <s v="Delivered"/>
    <x v="1"/>
    <n v="5"/>
    <x v="0"/>
    <m/>
  </r>
  <r>
    <n v="1490"/>
    <x v="318"/>
    <s v="08-30-2024"/>
    <s v=""/>
    <m/>
    <s v="Unknown Customer"/>
    <s v="europe"/>
    <x v="2"/>
    <m/>
    <x v="1"/>
    <s v="phone"/>
    <x v="2"/>
    <m/>
    <s v="Unknown"/>
    <m/>
    <x v="7"/>
    <s v="EUR"/>
    <s v="EUR"/>
    <s v="Delivered"/>
    <x v="1"/>
    <s v="five"/>
    <x v="0"/>
    <s v="VIP"/>
  </r>
  <r>
    <s v="ORD-1491"/>
    <x v="319"/>
    <s v="08-09-2024"/>
    <d v="2024-09-08T00:00:00"/>
    <s v="Cust. 491"/>
    <s v="Customer 491"/>
    <m/>
    <x v="0"/>
    <s v="Online"/>
    <x v="0"/>
    <s v="phone"/>
    <x v="2"/>
    <m/>
    <s v="Unknown"/>
    <s v="$1850.93"/>
    <x v="363"/>
    <s v="$"/>
    <s v="USD"/>
    <s v="RETURNED"/>
    <x v="2"/>
    <m/>
    <x v="3"/>
    <s v="late delivery"/>
  </r>
  <r>
    <m/>
    <x v="1"/>
    <s v="01-10-2025"/>
    <d v="2025-10-01T00:00:00"/>
    <s v="customer 492"/>
    <s v="Customer 492"/>
    <s v="Asia"/>
    <x v="1"/>
    <s v="Web"/>
    <x v="0"/>
    <s v="Laptop"/>
    <x v="1"/>
    <n v="1"/>
    <n v="1"/>
    <s v="2032.08 EUR"/>
    <x v="364"/>
    <s v="EUR"/>
    <s v="EUR"/>
    <s v="Delivered"/>
    <x v="1"/>
    <n v="5"/>
    <x v="0"/>
    <m/>
  </r>
  <r>
    <s v="ORD-1493"/>
    <x v="320"/>
    <s v="25/09/2024"/>
    <d v="2024-09-25T00:00:00"/>
    <s v="Cust. 493"/>
    <s v="Customer 493"/>
    <s v="Asia"/>
    <x v="1"/>
    <s v="Online"/>
    <x v="0"/>
    <s v="Laptop"/>
    <x v="1"/>
    <n v="1"/>
    <n v="1"/>
    <m/>
    <x v="7"/>
    <m/>
    <s v="Unknown"/>
    <s v="Delivered"/>
    <x v="1"/>
    <n v="1"/>
    <x v="4"/>
    <s v="late delivery"/>
  </r>
  <r>
    <n v="1494"/>
    <x v="321"/>
    <s v="02/11/2024"/>
    <d v="2024-11-02T00:00:00"/>
    <m/>
    <s v="Unknown Customer"/>
    <m/>
    <x v="0"/>
    <m/>
    <x v="1"/>
    <s v="TABLET"/>
    <x v="0"/>
    <n v="2"/>
    <n v="2"/>
    <n v="1932.34"/>
    <x v="365"/>
    <s v="EUR"/>
    <s v="EUR"/>
    <m/>
    <x v="3"/>
    <n v="2"/>
    <x v="2"/>
    <s v="VIP"/>
  </r>
  <r>
    <m/>
    <x v="1"/>
    <m/>
    <s v=""/>
    <s v="Cust. 495"/>
    <s v="Customer 495"/>
    <m/>
    <x v="0"/>
    <s v="Mobile"/>
    <x v="2"/>
    <s v="TABLET"/>
    <x v="0"/>
    <n v="3"/>
    <n v="3"/>
    <n v="1427.52"/>
    <x v="366"/>
    <s v="€"/>
    <s v="EUR"/>
    <s v="Delivered"/>
    <x v="1"/>
    <n v="1"/>
    <x v="4"/>
    <s v="VIP"/>
  </r>
  <r>
    <s v="ORD-1496"/>
    <x v="322"/>
    <s v="2025-02-01"/>
    <d v="2025-02-01T00:00:00"/>
    <s v="Cust. 496"/>
    <s v="Customer 496"/>
    <m/>
    <x v="0"/>
    <s v="Mobile"/>
    <x v="2"/>
    <s v="Lapotp"/>
    <x v="1"/>
    <s v="two"/>
    <n v="2"/>
    <m/>
    <x v="7"/>
    <s v="EUR"/>
    <s v="EUR"/>
    <s v="RETURNED"/>
    <x v="2"/>
    <n v="2"/>
    <x v="2"/>
    <m/>
  </r>
  <r>
    <n v="1497"/>
    <x v="323"/>
    <m/>
    <s v=""/>
    <s v="customer 497"/>
    <s v="Customer 497"/>
    <s v="U.S."/>
    <x v="3"/>
    <m/>
    <x v="1"/>
    <s v="Laptop"/>
    <x v="1"/>
    <s v="two"/>
    <n v="2"/>
    <n v="1954.18"/>
    <x v="367"/>
    <s v="€"/>
    <s v="EUR"/>
    <s v="Delivered"/>
    <x v="1"/>
    <n v="1"/>
    <x v="4"/>
    <m/>
  </r>
  <r>
    <s v="ORD-1498"/>
    <x v="324"/>
    <s v="2024-02-06"/>
    <d v="2024-02-06T00:00:00"/>
    <m/>
    <s v="Unknown Customer"/>
    <s v="US"/>
    <x v="3"/>
    <m/>
    <x v="1"/>
    <s v="TABLET"/>
    <x v="0"/>
    <n v="1"/>
    <n v="1"/>
    <s v="$1735.47"/>
    <x v="368"/>
    <s v="EUR"/>
    <s v="EUR"/>
    <m/>
    <x v="3"/>
    <n v="5"/>
    <x v="0"/>
    <s v="VIP"/>
  </r>
  <r>
    <m/>
    <x v="1"/>
    <s v="2024-03-18"/>
    <d v="2024-03-18T00:00:00"/>
    <m/>
    <s v="Unknown Customer"/>
    <s v="europe"/>
    <x v="2"/>
    <s v="Mobile"/>
    <x v="2"/>
    <s v="phone"/>
    <x v="2"/>
    <n v="1"/>
    <n v="1"/>
    <m/>
    <x v="7"/>
    <m/>
    <s v="Unknown"/>
    <s v="Delivered"/>
    <x v="1"/>
    <n v="1"/>
    <x v="4"/>
    <m/>
  </r>
  <r>
    <n v="1500"/>
    <x v="325"/>
    <s v="12-18-2024"/>
    <s v=""/>
    <s v="Cust. 500"/>
    <s v="Customer 500"/>
    <m/>
    <x v="0"/>
    <s v="Mobile"/>
    <x v="2"/>
    <s v="phone"/>
    <x v="2"/>
    <n v="1"/>
    <n v="1"/>
    <m/>
    <x v="7"/>
    <s v="EUR"/>
    <s v="EUR"/>
    <s v="RETURNED"/>
    <x v="2"/>
    <s v="five"/>
    <x v="0"/>
    <s v="VIP"/>
  </r>
  <r>
    <m/>
    <x v="1"/>
    <s v="11/02/2024"/>
    <d v="2024-02-11T00:00:00"/>
    <s v="customer 501"/>
    <s v="Customer 501"/>
    <s v="U.S."/>
    <x v="3"/>
    <s v="Online"/>
    <x v="0"/>
    <s v="phone"/>
    <x v="2"/>
    <n v="2"/>
    <n v="2"/>
    <s v="$2531.49"/>
    <x v="369"/>
    <s v="€"/>
    <s v="EUR"/>
    <m/>
    <x v="3"/>
    <n v="5"/>
    <x v="0"/>
    <m/>
  </r>
  <r>
    <n v="1502"/>
    <x v="326"/>
    <m/>
    <s v=""/>
    <s v="customer 502"/>
    <s v="Customer 502"/>
    <s v="US"/>
    <x v="3"/>
    <s v="Online"/>
    <x v="0"/>
    <s v="Lapotp"/>
    <x v="1"/>
    <n v="1"/>
    <n v="1"/>
    <m/>
    <x v="7"/>
    <m/>
    <s v="Unknown"/>
    <s v="Delivered"/>
    <x v="1"/>
    <n v="5"/>
    <x v="0"/>
    <m/>
  </r>
  <r>
    <s v="ORD-1503"/>
    <x v="327"/>
    <m/>
    <s v=""/>
    <s v="Customer 503"/>
    <s v="Customer 503"/>
    <s v="EU"/>
    <x v="2"/>
    <s v="Mobile"/>
    <x v="2"/>
    <s v="Laptop"/>
    <x v="1"/>
    <n v="3"/>
    <n v="3"/>
    <s v="$2388.58"/>
    <x v="370"/>
    <s v="EUR"/>
    <s v="EUR"/>
    <s v="RETURNED"/>
    <x v="2"/>
    <n v="1"/>
    <x v="4"/>
    <s v="late delivery"/>
  </r>
  <r>
    <m/>
    <x v="1"/>
    <s v="17/02/2025"/>
    <d v="2025-02-17T00:00:00"/>
    <s v="customer 504"/>
    <s v="Customer 504"/>
    <s v="EU"/>
    <x v="2"/>
    <s v="Online"/>
    <x v="0"/>
    <s v="TABLET"/>
    <x v="0"/>
    <n v="2"/>
    <n v="2"/>
    <m/>
    <x v="7"/>
    <s v="$"/>
    <s v="USD"/>
    <m/>
    <x v="3"/>
    <n v="1"/>
    <x v="4"/>
    <m/>
  </r>
  <r>
    <n v="1505"/>
    <x v="328"/>
    <s v="12/11/2024"/>
    <d v="2024-11-12T00:00:00"/>
    <s v="Customer 505"/>
    <s v="Customer 505"/>
    <s v="Asia"/>
    <x v="1"/>
    <s v="Online"/>
    <x v="0"/>
    <s v="phone"/>
    <x v="2"/>
    <m/>
    <s v="Unknown"/>
    <s v="185.11 EUR"/>
    <x v="371"/>
    <s v="USD"/>
    <s v="USD"/>
    <s v="pending"/>
    <x v="0"/>
    <n v="1"/>
    <x v="4"/>
    <m/>
  </r>
  <r>
    <n v="1506"/>
    <x v="329"/>
    <s v="28/02/2024"/>
    <d v="2024-02-28T00:00:00"/>
    <m/>
    <s v="Unknown Customer"/>
    <s v="Asia"/>
    <x v="1"/>
    <m/>
    <x v="1"/>
    <s v="TABLET"/>
    <x v="0"/>
    <s v="two"/>
    <n v="2"/>
    <s v="1516.57 EUR"/>
    <x v="372"/>
    <s v="€"/>
    <s v="EUR"/>
    <s v="Delivered"/>
    <x v="1"/>
    <m/>
    <x v="3"/>
    <s v="late delivery"/>
  </r>
  <r>
    <n v="1507"/>
    <x v="330"/>
    <s v="13/06/2024"/>
    <d v="2024-06-13T00:00:00"/>
    <s v="Cust. 507"/>
    <s v="Customer 507"/>
    <s v="EU"/>
    <x v="2"/>
    <s v="Online"/>
    <x v="0"/>
    <s v="phone"/>
    <x v="2"/>
    <n v="2"/>
    <n v="2"/>
    <s v="2517.46 EUR"/>
    <x v="373"/>
    <s v="$"/>
    <s v="USD"/>
    <s v="Delivered"/>
    <x v="1"/>
    <m/>
    <x v="3"/>
    <s v="VIP"/>
  </r>
  <r>
    <m/>
    <x v="1"/>
    <s v="2024-10-10"/>
    <d v="2024-10-10T00:00:00"/>
    <s v="customer 508"/>
    <s v="Customer 508"/>
    <s v="EU"/>
    <x v="2"/>
    <m/>
    <x v="1"/>
    <s v="TABLET"/>
    <x v="0"/>
    <s v="two"/>
    <n v="2"/>
    <s v="536.77 EUR"/>
    <x v="374"/>
    <s v="USD"/>
    <s v="USD"/>
    <s v="Delivered"/>
    <x v="1"/>
    <n v="5"/>
    <x v="0"/>
    <m/>
  </r>
  <r>
    <m/>
    <x v="1"/>
    <s v="01-04-2024"/>
    <d v="2024-04-01T00:00:00"/>
    <m/>
    <s v="Unknown Customer"/>
    <m/>
    <x v="0"/>
    <s v="Mobile"/>
    <x v="2"/>
    <s v="TABLET"/>
    <x v="0"/>
    <n v="2"/>
    <n v="2"/>
    <n v="71.31"/>
    <x v="375"/>
    <s v="USD"/>
    <s v="USD"/>
    <s v="Delivered"/>
    <x v="1"/>
    <m/>
    <x v="3"/>
    <s v="VIP"/>
  </r>
  <r>
    <n v="1510"/>
    <x v="331"/>
    <s v="2024-09-24"/>
    <d v="2024-09-24T00:00:00"/>
    <s v="customer 510"/>
    <s v="Customer 510"/>
    <m/>
    <x v="0"/>
    <s v="Mobile"/>
    <x v="2"/>
    <s v="TABLET"/>
    <x v="0"/>
    <n v="1"/>
    <n v="1"/>
    <s v="1378.74 EUR"/>
    <x v="376"/>
    <s v="€"/>
    <s v="EUR"/>
    <s v="RETURNED"/>
    <x v="2"/>
    <n v="5"/>
    <x v="0"/>
    <m/>
  </r>
  <r>
    <m/>
    <x v="1"/>
    <s v="2024-10-12"/>
    <d v="2024-10-12T00:00:00"/>
    <s v="Cust. 511"/>
    <s v="Customer 511"/>
    <m/>
    <x v="0"/>
    <s v="Web"/>
    <x v="0"/>
    <s v="TABLET"/>
    <x v="0"/>
    <n v="2"/>
    <n v="2"/>
    <n v="745.14"/>
    <x v="377"/>
    <s v="$"/>
    <s v="USD"/>
    <m/>
    <x v="3"/>
    <m/>
    <x v="3"/>
    <s v="late delivery"/>
  </r>
  <r>
    <n v="1512"/>
    <x v="332"/>
    <m/>
    <s v=""/>
    <m/>
    <s v="Unknown Customer"/>
    <s v="US"/>
    <x v="3"/>
    <s v="Online"/>
    <x v="0"/>
    <s v="TABLET"/>
    <x v="0"/>
    <n v="1"/>
    <n v="1"/>
    <n v="206.55"/>
    <x v="378"/>
    <s v="EUR"/>
    <s v="EUR"/>
    <m/>
    <x v="3"/>
    <n v="3"/>
    <x v="1"/>
    <s v="VIP"/>
  </r>
  <r>
    <m/>
    <x v="1"/>
    <m/>
    <s v=""/>
    <s v="Customer 513"/>
    <s v="Customer 513"/>
    <s v="EU"/>
    <x v="2"/>
    <m/>
    <x v="1"/>
    <s v="Laptop"/>
    <x v="1"/>
    <m/>
    <s v="Unknown"/>
    <s v="$1332.28"/>
    <x v="379"/>
    <s v="USD"/>
    <s v="USD"/>
    <s v="Delivered"/>
    <x v="1"/>
    <n v="1"/>
    <x v="4"/>
    <m/>
  </r>
  <r>
    <m/>
    <x v="1"/>
    <m/>
    <s v=""/>
    <s v="Cust. 514"/>
    <s v="Customer 514"/>
    <s v="europe"/>
    <x v="2"/>
    <s v="Online"/>
    <x v="0"/>
    <s v="TABLET"/>
    <x v="0"/>
    <n v="3"/>
    <n v="3"/>
    <s v="392.39 EUR"/>
    <x v="380"/>
    <s v="USD"/>
    <s v="USD"/>
    <s v="Delivered"/>
    <x v="1"/>
    <n v="3"/>
    <x v="1"/>
    <s v="late delivery"/>
  </r>
  <r>
    <n v="1515"/>
    <x v="333"/>
    <m/>
    <s v=""/>
    <s v="customer 515"/>
    <s v="Customer 515"/>
    <s v="EU"/>
    <x v="2"/>
    <s v="Mobile"/>
    <x v="2"/>
    <s v="TABLET"/>
    <x v="0"/>
    <s v="two"/>
    <n v="2"/>
    <m/>
    <x v="7"/>
    <s v="EUR"/>
    <s v="EUR"/>
    <s v="RETURNED"/>
    <x v="2"/>
    <n v="2"/>
    <x v="2"/>
    <s v="late delivery"/>
  </r>
  <r>
    <s v="ORD-1516"/>
    <x v="334"/>
    <s v="08/11/2024"/>
    <d v="2024-11-08T00:00:00"/>
    <m/>
    <s v="Unknown Customer"/>
    <m/>
    <x v="0"/>
    <s v="Online"/>
    <x v="0"/>
    <s v="TABLET"/>
    <x v="0"/>
    <n v="3"/>
    <n v="3"/>
    <m/>
    <x v="7"/>
    <s v="€"/>
    <s v="EUR"/>
    <s v="Delivered"/>
    <x v="1"/>
    <n v="3"/>
    <x v="1"/>
    <s v="late delivery"/>
  </r>
  <r>
    <s v="ORD-1517"/>
    <x v="335"/>
    <s v="17/01/2024"/>
    <d v="2024-01-17T00:00:00"/>
    <s v="Customer 517"/>
    <s v="Customer 517"/>
    <m/>
    <x v="0"/>
    <s v="Mobile"/>
    <x v="2"/>
    <s v="phone"/>
    <x v="2"/>
    <s v="two"/>
    <n v="2"/>
    <n v="2092.02"/>
    <x v="381"/>
    <s v="USD"/>
    <s v="USD"/>
    <s v="RETURNED"/>
    <x v="2"/>
    <n v="2"/>
    <x v="2"/>
    <s v="VIP"/>
  </r>
  <r>
    <m/>
    <x v="1"/>
    <s v="05/11/2024"/>
    <d v="2024-11-05T00:00:00"/>
    <s v="Customer 518"/>
    <s v="Customer 518"/>
    <s v="europe"/>
    <x v="2"/>
    <s v="Web"/>
    <x v="0"/>
    <s v="phone"/>
    <x v="2"/>
    <n v="2"/>
    <n v="2"/>
    <s v="512.52 EUR"/>
    <x v="382"/>
    <m/>
    <s v="Unknown"/>
    <s v="RETURNED"/>
    <x v="2"/>
    <n v="5"/>
    <x v="0"/>
    <s v="VIP"/>
  </r>
  <r>
    <n v="1519"/>
    <x v="336"/>
    <s v="01-08-2024"/>
    <d v="2024-08-01T00:00:00"/>
    <m/>
    <s v="Unknown Customer"/>
    <s v="U.S."/>
    <x v="3"/>
    <s v="Online"/>
    <x v="0"/>
    <s v="TABLET"/>
    <x v="0"/>
    <n v="2"/>
    <n v="2"/>
    <s v="2203.55 EUR"/>
    <x v="383"/>
    <m/>
    <s v="Unknown"/>
    <s v="Delivered"/>
    <x v="1"/>
    <n v="5"/>
    <x v="0"/>
    <m/>
  </r>
  <r>
    <s v="ORD-1520"/>
    <x v="337"/>
    <m/>
    <s v=""/>
    <m/>
    <s v="Unknown Customer"/>
    <m/>
    <x v="0"/>
    <m/>
    <x v="1"/>
    <m/>
    <x v="3"/>
    <n v="1"/>
    <n v="1"/>
    <n v="2974.26"/>
    <x v="384"/>
    <s v="$"/>
    <s v="USD"/>
    <s v="RETURNED"/>
    <x v="2"/>
    <n v="2"/>
    <x v="2"/>
    <m/>
  </r>
  <r>
    <n v="1521"/>
    <x v="338"/>
    <s v="12/10/2024"/>
    <d v="2024-10-12T00:00:00"/>
    <s v="Cust. 521"/>
    <s v="Customer 521"/>
    <s v="Asia"/>
    <x v="1"/>
    <s v="Online"/>
    <x v="0"/>
    <s v="TABLET"/>
    <x v="0"/>
    <n v="1"/>
    <n v="1"/>
    <m/>
    <x v="7"/>
    <s v="EUR"/>
    <s v="EUR"/>
    <s v="RETURNED"/>
    <x v="2"/>
    <m/>
    <x v="3"/>
    <s v="VIP"/>
  </r>
  <r>
    <s v="ORD-1522"/>
    <x v="339"/>
    <m/>
    <s v=""/>
    <s v="customer 522"/>
    <s v="Customer 522"/>
    <m/>
    <x v="0"/>
    <m/>
    <x v="1"/>
    <s v="phone"/>
    <x v="2"/>
    <n v="2"/>
    <n v="2"/>
    <n v="2124.75"/>
    <x v="385"/>
    <s v="€"/>
    <s v="EUR"/>
    <m/>
    <x v="3"/>
    <n v="5"/>
    <x v="0"/>
    <m/>
  </r>
  <r>
    <m/>
    <x v="1"/>
    <s v="2024-11-17"/>
    <d v="2024-11-17T00:00:00"/>
    <s v="Cust. 523"/>
    <s v="Customer 523"/>
    <s v="europe"/>
    <x v="2"/>
    <s v="Mobile"/>
    <x v="2"/>
    <s v="TABLET"/>
    <x v="0"/>
    <m/>
    <s v="Unknown"/>
    <s v="$258.56"/>
    <x v="386"/>
    <m/>
    <s v="Unknown"/>
    <s v="pending"/>
    <x v="0"/>
    <n v="2"/>
    <x v="2"/>
    <m/>
  </r>
  <r>
    <m/>
    <x v="1"/>
    <s v="11-13-2024"/>
    <s v=""/>
    <s v="Customer 524"/>
    <s v="Customer 524"/>
    <s v="EU"/>
    <x v="2"/>
    <s v="Mobile"/>
    <x v="2"/>
    <s v="phone"/>
    <x v="2"/>
    <s v="two"/>
    <n v="2"/>
    <n v="2648.5"/>
    <x v="387"/>
    <m/>
    <s v="Unknown"/>
    <s v="Delivered"/>
    <x v="1"/>
    <n v="3"/>
    <x v="1"/>
    <s v="VIP"/>
  </r>
  <r>
    <m/>
    <x v="1"/>
    <s v="30/03/2024"/>
    <d v="2024-03-30T00:00:00"/>
    <s v="customer 525"/>
    <s v="Customer 525"/>
    <s v="Asia"/>
    <x v="1"/>
    <s v="Online"/>
    <x v="0"/>
    <s v="TABLET"/>
    <x v="0"/>
    <n v="1"/>
    <n v="1"/>
    <n v="1962.11"/>
    <x v="388"/>
    <s v="$"/>
    <s v="USD"/>
    <m/>
    <x v="3"/>
    <s v="five"/>
    <x v="0"/>
    <s v="late delivery"/>
  </r>
  <r>
    <s v="ORD-1526"/>
    <x v="340"/>
    <s v="01-20-2025"/>
    <s v=""/>
    <s v="Cust. 526"/>
    <s v="Customer 526"/>
    <s v="U.S."/>
    <x v="3"/>
    <m/>
    <x v="1"/>
    <s v="phone"/>
    <x v="2"/>
    <n v="3"/>
    <n v="3"/>
    <s v="2247.8 EUR"/>
    <x v="389"/>
    <s v="EUR"/>
    <s v="EUR"/>
    <s v="Delivered"/>
    <x v="1"/>
    <n v="3"/>
    <x v="1"/>
    <s v="VIP"/>
  </r>
  <r>
    <s v="ORD-1527"/>
    <x v="341"/>
    <s v="08-19-2024"/>
    <s v=""/>
    <m/>
    <s v="Unknown Customer"/>
    <s v="U.S."/>
    <x v="3"/>
    <s v="Mobile"/>
    <x v="2"/>
    <m/>
    <x v="3"/>
    <n v="1"/>
    <n v="1"/>
    <n v="1484.37"/>
    <x v="390"/>
    <s v="USD"/>
    <s v="USD"/>
    <s v="RETURNED"/>
    <x v="2"/>
    <n v="1"/>
    <x v="4"/>
    <m/>
  </r>
  <r>
    <n v="1528"/>
    <x v="342"/>
    <s v="2024-07-19"/>
    <d v="2024-07-19T00:00:00"/>
    <s v="customer 528"/>
    <s v="Customer 528"/>
    <s v="Asia"/>
    <x v="1"/>
    <s v="Online"/>
    <x v="0"/>
    <s v="TABLET"/>
    <x v="0"/>
    <n v="2"/>
    <n v="2"/>
    <s v="$2698.94"/>
    <x v="391"/>
    <s v="$"/>
    <s v="USD"/>
    <s v="Delivered"/>
    <x v="1"/>
    <n v="2"/>
    <x v="2"/>
    <m/>
  </r>
  <r>
    <s v="ORD-1529"/>
    <x v="343"/>
    <s v="05-30-2024"/>
    <s v=""/>
    <m/>
    <s v="Unknown Customer"/>
    <s v="europe"/>
    <x v="2"/>
    <m/>
    <x v="1"/>
    <s v="TABLET"/>
    <x v="0"/>
    <n v="1"/>
    <n v="1"/>
    <s v="1278.78 EUR"/>
    <x v="392"/>
    <s v="€"/>
    <s v="EUR"/>
    <s v="Delivered"/>
    <x v="1"/>
    <n v="1"/>
    <x v="4"/>
    <m/>
  </r>
  <r>
    <s v="ORD-1530"/>
    <x v="344"/>
    <s v="02-14-2025"/>
    <s v=""/>
    <s v="Cust. 530"/>
    <s v="Customer 530"/>
    <s v="europe"/>
    <x v="2"/>
    <s v="Web"/>
    <x v="0"/>
    <s v="TABLET"/>
    <x v="0"/>
    <m/>
    <s v="Unknown"/>
    <s v="$735.37"/>
    <x v="393"/>
    <m/>
    <s v="Unknown"/>
    <s v="RETURNED"/>
    <x v="2"/>
    <n v="5"/>
    <x v="0"/>
    <s v="VIP"/>
  </r>
  <r>
    <n v="1531"/>
    <x v="345"/>
    <s v="10-17-2024"/>
    <s v=""/>
    <s v="customer 531"/>
    <s v="Customer 531"/>
    <s v="europe"/>
    <x v="2"/>
    <s v="Mobile"/>
    <x v="2"/>
    <s v="phone"/>
    <x v="2"/>
    <n v="1"/>
    <n v="1"/>
    <s v="$439.27"/>
    <x v="394"/>
    <s v="USD"/>
    <s v="USD"/>
    <s v="RETURNED"/>
    <x v="2"/>
    <n v="3"/>
    <x v="1"/>
    <m/>
  </r>
  <r>
    <m/>
    <x v="1"/>
    <s v="03-26-2024"/>
    <s v=""/>
    <s v="customer 532"/>
    <s v="Customer 532"/>
    <s v="US"/>
    <x v="3"/>
    <m/>
    <x v="1"/>
    <s v="TABLET"/>
    <x v="0"/>
    <n v="2"/>
    <n v="2"/>
    <s v="1874.96 EUR"/>
    <x v="395"/>
    <s v="USD"/>
    <s v="USD"/>
    <s v="Delivered"/>
    <x v="1"/>
    <n v="1"/>
    <x v="4"/>
    <m/>
  </r>
  <r>
    <s v="ORD-1533"/>
    <x v="346"/>
    <s v="06-11-2024"/>
    <d v="2024-11-06T00:00:00"/>
    <s v="customer 533"/>
    <s v="Customer 533"/>
    <s v="US"/>
    <x v="3"/>
    <s v="Web"/>
    <x v="0"/>
    <s v="TABLET"/>
    <x v="0"/>
    <n v="1"/>
    <n v="1"/>
    <m/>
    <x v="7"/>
    <s v="€"/>
    <s v="EUR"/>
    <s v="RETURNED"/>
    <x v="2"/>
    <n v="2"/>
    <x v="2"/>
    <s v="VIP"/>
  </r>
  <r>
    <m/>
    <x v="1"/>
    <s v="08-17-2024"/>
    <s v=""/>
    <s v="Customer 534"/>
    <s v="Customer 534"/>
    <s v="EU"/>
    <x v="2"/>
    <s v="Mobile"/>
    <x v="2"/>
    <s v="phone"/>
    <x v="2"/>
    <n v="2"/>
    <n v="2"/>
    <s v="1642.61 EUR"/>
    <x v="396"/>
    <s v="$"/>
    <s v="USD"/>
    <s v="RETURNED"/>
    <x v="2"/>
    <n v="2"/>
    <x v="2"/>
    <m/>
  </r>
  <r>
    <m/>
    <x v="1"/>
    <s v="01-13-2025"/>
    <s v=""/>
    <m/>
    <s v="Unknown Customer"/>
    <s v="Asia"/>
    <x v="1"/>
    <s v="Web"/>
    <x v="0"/>
    <s v="TABLET"/>
    <x v="0"/>
    <n v="2"/>
    <n v="2"/>
    <s v="$1661.13"/>
    <x v="397"/>
    <m/>
    <s v="Unknown"/>
    <m/>
    <x v="3"/>
    <n v="5"/>
    <x v="0"/>
    <s v="VIP"/>
  </r>
  <r>
    <n v="1536"/>
    <x v="347"/>
    <s v="18/12/2024"/>
    <d v="2024-12-18T00:00:00"/>
    <s v="Customer 536"/>
    <s v="Customer 536"/>
    <s v="Asia"/>
    <x v="1"/>
    <s v="Online"/>
    <x v="0"/>
    <s v="phone"/>
    <x v="2"/>
    <m/>
    <s v="Unknown"/>
    <m/>
    <x v="7"/>
    <s v="USD"/>
    <s v="USD"/>
    <s v="RETURNED"/>
    <x v="2"/>
    <n v="3"/>
    <x v="1"/>
    <m/>
  </r>
  <r>
    <m/>
    <x v="1"/>
    <s v="16/06/2024"/>
    <d v="2024-06-16T00:00:00"/>
    <s v="Cust. 537"/>
    <s v="Customer 537"/>
    <s v="US"/>
    <x v="3"/>
    <s v="Online"/>
    <x v="0"/>
    <s v="Laptop"/>
    <x v="1"/>
    <m/>
    <s v="Unknown"/>
    <s v="212.35 EUR"/>
    <x v="398"/>
    <s v="$"/>
    <s v="USD"/>
    <m/>
    <x v="3"/>
    <m/>
    <x v="3"/>
    <m/>
  </r>
  <r>
    <s v="ORD-1538"/>
    <x v="348"/>
    <s v="2024-09-19"/>
    <d v="2024-09-19T00:00:00"/>
    <s v="Cust. 538"/>
    <s v="Customer 538"/>
    <s v="europe"/>
    <x v="2"/>
    <s v="Online"/>
    <x v="0"/>
    <s v="TABLET"/>
    <x v="0"/>
    <s v="two"/>
    <n v="2"/>
    <m/>
    <x v="7"/>
    <s v="€"/>
    <s v="EUR"/>
    <s v="RETURNED"/>
    <x v="2"/>
    <n v="3"/>
    <x v="1"/>
    <m/>
  </r>
  <r>
    <s v="ORD-1539"/>
    <x v="349"/>
    <s v="2024-05-25"/>
    <d v="2024-05-25T00:00:00"/>
    <s v="customer 539"/>
    <s v="Customer 539"/>
    <m/>
    <x v="0"/>
    <s v="Mobile"/>
    <x v="2"/>
    <s v="TABLET"/>
    <x v="0"/>
    <s v="two"/>
    <n v="2"/>
    <s v="$1067.51"/>
    <x v="399"/>
    <s v="$"/>
    <s v="USD"/>
    <s v="RETURNED"/>
    <x v="2"/>
    <n v="2"/>
    <x v="2"/>
    <m/>
  </r>
  <r>
    <m/>
    <x v="1"/>
    <s v="2025-01-08"/>
    <d v="2025-01-08T00:00:00"/>
    <s v="customer 540"/>
    <s v="Customer 540"/>
    <s v="US"/>
    <x v="3"/>
    <s v="Mobile"/>
    <x v="2"/>
    <s v="phone"/>
    <x v="2"/>
    <m/>
    <s v="Unknown"/>
    <s v="2694.47 EUR"/>
    <x v="400"/>
    <s v="€"/>
    <s v="EUR"/>
    <s v="Delivered"/>
    <x v="1"/>
    <s v="five"/>
    <x v="0"/>
    <m/>
  </r>
  <r>
    <s v="ORD-1541"/>
    <x v="350"/>
    <s v="15/02/2024"/>
    <d v="2024-02-15T00:00:00"/>
    <m/>
    <s v="Unknown Customer"/>
    <m/>
    <x v="0"/>
    <s v="Web"/>
    <x v="0"/>
    <m/>
    <x v="3"/>
    <n v="2"/>
    <n v="2"/>
    <s v="$69.53"/>
    <x v="401"/>
    <s v="USD"/>
    <s v="USD"/>
    <s v="Delivered"/>
    <x v="1"/>
    <n v="5"/>
    <x v="0"/>
    <s v="VIP"/>
  </r>
  <r>
    <m/>
    <x v="1"/>
    <s v="10-10-2024"/>
    <d v="2024-10-10T00:00:00"/>
    <m/>
    <s v="Unknown Customer"/>
    <s v="U.S."/>
    <x v="3"/>
    <m/>
    <x v="1"/>
    <s v="phone"/>
    <x v="2"/>
    <n v="2"/>
    <n v="2"/>
    <s v="$1497.23"/>
    <x v="402"/>
    <s v="EUR"/>
    <s v="EUR"/>
    <s v="Delivered"/>
    <x v="1"/>
    <n v="2"/>
    <x v="2"/>
    <s v="VIP"/>
  </r>
  <r>
    <n v="1543"/>
    <x v="351"/>
    <s v="06-02-2024"/>
    <d v="2024-02-06T00:00:00"/>
    <m/>
    <s v="Unknown Customer"/>
    <s v="US"/>
    <x v="3"/>
    <s v="Mobile"/>
    <x v="2"/>
    <s v="TABLET"/>
    <x v="0"/>
    <n v="2"/>
    <n v="2"/>
    <m/>
    <x v="7"/>
    <s v="EUR"/>
    <s v="EUR"/>
    <s v="Delivered"/>
    <x v="1"/>
    <n v="3"/>
    <x v="1"/>
    <m/>
  </r>
  <r>
    <m/>
    <x v="1"/>
    <m/>
    <s v=""/>
    <m/>
    <s v="Unknown Customer"/>
    <m/>
    <x v="0"/>
    <s v="Mobile"/>
    <x v="2"/>
    <s v="TABLET"/>
    <x v="0"/>
    <s v="two"/>
    <n v="2"/>
    <s v="$1816.73"/>
    <x v="403"/>
    <s v="EUR"/>
    <s v="EUR"/>
    <s v="RETURNED"/>
    <x v="2"/>
    <s v="five"/>
    <x v="0"/>
    <m/>
  </r>
  <r>
    <n v="1545"/>
    <x v="352"/>
    <s v="05-12-2024"/>
    <d v="2024-12-05T00:00:00"/>
    <m/>
    <s v="Unknown Customer"/>
    <m/>
    <x v="0"/>
    <s v="Online"/>
    <x v="0"/>
    <s v="phone"/>
    <x v="2"/>
    <n v="2"/>
    <n v="2"/>
    <n v="530.4"/>
    <x v="404"/>
    <s v="EUR"/>
    <s v="EUR"/>
    <s v="RETURNED"/>
    <x v="2"/>
    <n v="3"/>
    <x v="1"/>
    <m/>
  </r>
  <r>
    <n v="1546"/>
    <x v="353"/>
    <s v="11-21-2024"/>
    <s v=""/>
    <s v="Cust. 546"/>
    <s v="Customer 546"/>
    <s v="U.S."/>
    <x v="3"/>
    <m/>
    <x v="1"/>
    <s v="Laptop"/>
    <x v="1"/>
    <m/>
    <s v="Unknown"/>
    <s v="$2740.71"/>
    <x v="405"/>
    <s v="USD"/>
    <s v="USD"/>
    <m/>
    <x v="3"/>
    <n v="2"/>
    <x v="2"/>
    <m/>
  </r>
  <r>
    <s v="ORD-1547"/>
    <x v="354"/>
    <s v="11-02-2024"/>
    <d v="2024-02-11T00:00:00"/>
    <s v="Cust. 547"/>
    <s v="Customer 547"/>
    <m/>
    <x v="0"/>
    <m/>
    <x v="1"/>
    <s v="TABLET"/>
    <x v="0"/>
    <n v="3"/>
    <n v="3"/>
    <s v="$2270.25"/>
    <x v="406"/>
    <s v="EUR"/>
    <s v="EUR"/>
    <s v="pending"/>
    <x v="0"/>
    <s v="five"/>
    <x v="0"/>
    <s v="VIP"/>
  </r>
  <r>
    <s v="ORD-1548"/>
    <x v="355"/>
    <m/>
    <s v=""/>
    <m/>
    <s v="Unknown Customer"/>
    <s v="Asia"/>
    <x v="1"/>
    <s v="Online"/>
    <x v="0"/>
    <s v="Laptop"/>
    <x v="1"/>
    <n v="2"/>
    <n v="2"/>
    <s v="$88.05"/>
    <x v="407"/>
    <s v="USD"/>
    <s v="USD"/>
    <s v="pending"/>
    <x v="0"/>
    <n v="2"/>
    <x v="2"/>
    <s v="late delivery"/>
  </r>
  <r>
    <s v="ORD-1549"/>
    <x v="356"/>
    <m/>
    <s v=""/>
    <s v="Customer 549"/>
    <s v="Customer 549"/>
    <s v="EU"/>
    <x v="2"/>
    <s v="Online"/>
    <x v="0"/>
    <s v="Laptop"/>
    <x v="1"/>
    <s v="two"/>
    <n v="2"/>
    <n v="2696.32"/>
    <x v="408"/>
    <s v="€"/>
    <s v="EUR"/>
    <s v="RETURNED"/>
    <x v="2"/>
    <m/>
    <x v="3"/>
    <s v="VIP"/>
  </r>
  <r>
    <n v="1550"/>
    <x v="357"/>
    <s v="03-12-2024"/>
    <d v="2024-12-03T00:00:00"/>
    <s v="Customer 550"/>
    <s v="Customer 550"/>
    <m/>
    <x v="0"/>
    <s v="Online"/>
    <x v="0"/>
    <s v="Lapotp"/>
    <x v="1"/>
    <n v="2"/>
    <n v="2"/>
    <s v="$2460.26"/>
    <x v="409"/>
    <s v="USD"/>
    <s v="USD"/>
    <m/>
    <x v="3"/>
    <n v="2"/>
    <x v="2"/>
    <s v="VIP"/>
  </r>
  <r>
    <s v="ORD-1551"/>
    <x v="358"/>
    <s v="2024-03-05"/>
    <d v="2024-03-05T00:00:00"/>
    <s v="Customer 551"/>
    <s v="Customer 551"/>
    <s v="EU"/>
    <x v="2"/>
    <s v="Mobile"/>
    <x v="2"/>
    <m/>
    <x v="3"/>
    <s v="two"/>
    <n v="2"/>
    <n v="669.03"/>
    <x v="410"/>
    <s v="EUR"/>
    <s v="EUR"/>
    <s v="Delivered"/>
    <x v="1"/>
    <n v="1"/>
    <x v="4"/>
    <m/>
  </r>
  <r>
    <s v="ORD-1552"/>
    <x v="359"/>
    <s v="2025-02-10"/>
    <d v="2025-02-10T00:00:00"/>
    <s v="Cust. 552"/>
    <s v="Customer 552"/>
    <s v="EU"/>
    <x v="2"/>
    <s v="Online"/>
    <x v="0"/>
    <s v="phone"/>
    <x v="2"/>
    <n v="1"/>
    <n v="1"/>
    <n v="1996.38"/>
    <x v="411"/>
    <s v="EUR"/>
    <s v="EUR"/>
    <s v="Delivered"/>
    <x v="1"/>
    <s v="five"/>
    <x v="0"/>
    <s v="late delivery"/>
  </r>
  <r>
    <m/>
    <x v="1"/>
    <s v="10-27-2024"/>
    <s v=""/>
    <s v="Customer 553"/>
    <s v="Customer 553"/>
    <s v="EU"/>
    <x v="2"/>
    <s v="Online"/>
    <x v="0"/>
    <m/>
    <x v="3"/>
    <n v="3"/>
    <n v="3"/>
    <s v="2708.47 EUR"/>
    <x v="412"/>
    <m/>
    <s v="Unknown"/>
    <s v="RETURNED"/>
    <x v="2"/>
    <n v="3"/>
    <x v="1"/>
    <s v="late delivery"/>
  </r>
  <r>
    <m/>
    <x v="1"/>
    <s v="2024-09-13"/>
    <d v="2024-09-13T00:00:00"/>
    <s v="Customer 554"/>
    <s v="Customer 554"/>
    <m/>
    <x v="0"/>
    <s v="Web"/>
    <x v="0"/>
    <m/>
    <x v="3"/>
    <n v="1"/>
    <n v="1"/>
    <s v="2353.37 EUR"/>
    <x v="413"/>
    <m/>
    <s v="Unknown"/>
    <s v="Delivered"/>
    <x v="1"/>
    <m/>
    <x v="3"/>
    <s v="late delivery"/>
  </r>
  <r>
    <m/>
    <x v="1"/>
    <s v="2024-05-24"/>
    <d v="2024-05-24T00:00:00"/>
    <s v="customer 555"/>
    <s v="Customer 555"/>
    <s v="U.S."/>
    <x v="3"/>
    <m/>
    <x v="1"/>
    <s v="phone"/>
    <x v="2"/>
    <n v="3"/>
    <n v="3"/>
    <n v="556.73"/>
    <x v="414"/>
    <m/>
    <s v="Unknown"/>
    <s v="Delivered"/>
    <x v="1"/>
    <n v="5"/>
    <x v="0"/>
    <m/>
  </r>
  <r>
    <s v="ORD-1556"/>
    <x v="360"/>
    <s v="02/04/2024"/>
    <d v="2024-04-02T00:00:00"/>
    <s v="customer 556"/>
    <s v="Customer 556"/>
    <s v="europe"/>
    <x v="2"/>
    <s v="Online"/>
    <x v="0"/>
    <m/>
    <x v="3"/>
    <n v="3"/>
    <n v="3"/>
    <m/>
    <x v="7"/>
    <s v="EUR"/>
    <s v="EUR"/>
    <s v="RETURNED"/>
    <x v="2"/>
    <n v="1"/>
    <x v="4"/>
    <s v="late delivery"/>
  </r>
  <r>
    <m/>
    <x v="1"/>
    <s v="2024-09-10"/>
    <d v="2024-09-10T00:00:00"/>
    <s v="Customer 557"/>
    <s v="Customer 557"/>
    <s v="Asia"/>
    <x v="1"/>
    <s v="Mobile"/>
    <x v="2"/>
    <s v="Laptop"/>
    <x v="1"/>
    <s v="two"/>
    <n v="2"/>
    <s v="$2298.71"/>
    <x v="415"/>
    <s v="€"/>
    <s v="EUR"/>
    <s v="RETURNED"/>
    <x v="2"/>
    <s v="five"/>
    <x v="0"/>
    <s v="VIP"/>
  </r>
  <r>
    <n v="1558"/>
    <x v="361"/>
    <m/>
    <s v=""/>
    <s v="Cust. 558"/>
    <s v="Customer 558"/>
    <m/>
    <x v="0"/>
    <s v="Mobile"/>
    <x v="2"/>
    <s v="Lapotp"/>
    <x v="1"/>
    <n v="1"/>
    <n v="1"/>
    <m/>
    <x v="7"/>
    <s v="$"/>
    <s v="USD"/>
    <m/>
    <x v="3"/>
    <n v="3"/>
    <x v="1"/>
    <s v="late delivery"/>
  </r>
  <r>
    <m/>
    <x v="1"/>
    <s v="2024-01-07"/>
    <d v="2024-01-07T00:00:00"/>
    <m/>
    <s v="Unknown Customer"/>
    <s v="europe"/>
    <x v="2"/>
    <s v="Web"/>
    <x v="0"/>
    <s v="TABLET"/>
    <x v="0"/>
    <n v="1"/>
    <n v="1"/>
    <m/>
    <x v="7"/>
    <s v="EUR"/>
    <s v="EUR"/>
    <s v="Delivered"/>
    <x v="1"/>
    <n v="5"/>
    <x v="0"/>
    <m/>
  </r>
  <r>
    <m/>
    <x v="1"/>
    <s v="21/12/2024"/>
    <d v="2024-12-21T00:00:00"/>
    <s v="Customer 560"/>
    <s v="Customer 560"/>
    <s v="Asia"/>
    <x v="1"/>
    <s v="Online"/>
    <x v="0"/>
    <s v="phone"/>
    <x v="2"/>
    <n v="2"/>
    <n v="2"/>
    <n v="1792.14"/>
    <x v="416"/>
    <m/>
    <s v="Unknown"/>
    <s v="RETURNED"/>
    <x v="2"/>
    <n v="1"/>
    <x v="4"/>
    <s v="late delivery"/>
  </r>
  <r>
    <m/>
    <x v="1"/>
    <s v="08-05-2024"/>
    <d v="2024-05-08T00:00:00"/>
    <m/>
    <s v="Unknown Customer"/>
    <s v="Asia"/>
    <x v="1"/>
    <s v="Mobile"/>
    <x v="2"/>
    <s v="TABLET"/>
    <x v="0"/>
    <m/>
    <s v="Unknown"/>
    <s v="$2189.34"/>
    <x v="417"/>
    <s v="$"/>
    <s v="USD"/>
    <s v="RETURNED"/>
    <x v="2"/>
    <s v="five"/>
    <x v="0"/>
    <s v="VIP"/>
  </r>
  <r>
    <n v="1562"/>
    <x v="362"/>
    <s v="03-16-2024"/>
    <s v=""/>
    <m/>
    <s v="Unknown Customer"/>
    <s v="europe"/>
    <x v="2"/>
    <s v="Online"/>
    <x v="0"/>
    <s v="TABLET"/>
    <x v="0"/>
    <n v="2"/>
    <n v="2"/>
    <n v="2315.6"/>
    <x v="418"/>
    <s v="EUR"/>
    <s v="EUR"/>
    <s v="Delivered"/>
    <x v="1"/>
    <m/>
    <x v="3"/>
    <m/>
  </r>
  <r>
    <n v="1563"/>
    <x v="363"/>
    <m/>
    <s v=""/>
    <s v="Cust. 563"/>
    <s v="Customer 563"/>
    <s v="US"/>
    <x v="3"/>
    <s v="Mobile"/>
    <x v="2"/>
    <s v="TABLET"/>
    <x v="0"/>
    <m/>
    <s v="Unknown"/>
    <n v="1519.5"/>
    <x v="419"/>
    <s v="EUR"/>
    <s v="EUR"/>
    <s v="Delivered"/>
    <x v="1"/>
    <m/>
    <x v="3"/>
    <m/>
  </r>
  <r>
    <m/>
    <x v="1"/>
    <m/>
    <s v=""/>
    <m/>
    <s v="Unknown Customer"/>
    <s v="U.S."/>
    <x v="3"/>
    <s v="Mobile"/>
    <x v="2"/>
    <s v="TABLET"/>
    <x v="0"/>
    <n v="3"/>
    <n v="3"/>
    <s v="$1424.76"/>
    <x v="420"/>
    <m/>
    <s v="Unknown"/>
    <s v="pending"/>
    <x v="0"/>
    <n v="1"/>
    <x v="4"/>
    <m/>
  </r>
  <r>
    <s v="ORD-1565"/>
    <x v="364"/>
    <m/>
    <s v=""/>
    <s v="Cust. 565"/>
    <s v="Customer 565"/>
    <m/>
    <x v="0"/>
    <s v="Mobile"/>
    <x v="2"/>
    <s v="phone"/>
    <x v="2"/>
    <s v="two"/>
    <n v="2"/>
    <n v="2646.37"/>
    <x v="421"/>
    <s v="EUR"/>
    <s v="EUR"/>
    <s v="Delivered"/>
    <x v="1"/>
    <n v="2"/>
    <x v="2"/>
    <s v="VIP"/>
  </r>
  <r>
    <n v="1566"/>
    <x v="365"/>
    <s v="12-27-2024"/>
    <s v=""/>
    <m/>
    <s v="Unknown Customer"/>
    <s v="europe"/>
    <x v="2"/>
    <s v="Online"/>
    <x v="0"/>
    <s v="TABLET"/>
    <x v="0"/>
    <s v="two"/>
    <n v="2"/>
    <m/>
    <x v="7"/>
    <m/>
    <s v="Unknown"/>
    <m/>
    <x v="3"/>
    <s v="five"/>
    <x v="0"/>
    <m/>
  </r>
  <r>
    <m/>
    <x v="1"/>
    <s v="2024-08-31"/>
    <d v="2024-08-31T00:00:00"/>
    <m/>
    <s v="Unknown Customer"/>
    <s v="Asia"/>
    <x v="1"/>
    <s v="Mobile"/>
    <x v="2"/>
    <s v="TABLET"/>
    <x v="0"/>
    <s v="two"/>
    <n v="2"/>
    <s v="1708.65 EUR"/>
    <x v="422"/>
    <m/>
    <s v="Unknown"/>
    <m/>
    <x v="3"/>
    <n v="3"/>
    <x v="1"/>
    <s v="VIP"/>
  </r>
  <r>
    <n v="1568"/>
    <x v="366"/>
    <s v="06-13-2024"/>
    <s v=""/>
    <s v="Cust. 568"/>
    <s v="Customer 568"/>
    <m/>
    <x v="0"/>
    <m/>
    <x v="1"/>
    <s v="TABLET"/>
    <x v="0"/>
    <n v="1"/>
    <n v="1"/>
    <n v="231.2"/>
    <x v="423"/>
    <s v="€"/>
    <s v="EUR"/>
    <s v="RETURNED"/>
    <x v="2"/>
    <n v="1"/>
    <x v="4"/>
    <m/>
  </r>
  <r>
    <s v="ORD-1569"/>
    <x v="367"/>
    <s v="2024-06-25"/>
    <d v="2024-06-25T00:00:00"/>
    <s v="customer 569"/>
    <s v="Customer 569"/>
    <s v="US"/>
    <x v="3"/>
    <s v="Online"/>
    <x v="0"/>
    <s v="TABLET"/>
    <x v="0"/>
    <n v="3"/>
    <n v="3"/>
    <m/>
    <x v="7"/>
    <m/>
    <s v="Unknown"/>
    <s v="Delivered"/>
    <x v="1"/>
    <m/>
    <x v="3"/>
    <m/>
  </r>
  <r>
    <n v="1570"/>
    <x v="368"/>
    <s v="06-05-2024"/>
    <d v="2024-05-06T00:00:00"/>
    <s v="Customer 570"/>
    <s v="Customer 570"/>
    <s v="europe"/>
    <x v="2"/>
    <m/>
    <x v="1"/>
    <m/>
    <x v="3"/>
    <s v="two"/>
    <n v="2"/>
    <s v="387.69 EUR"/>
    <x v="424"/>
    <m/>
    <s v="Unknown"/>
    <s v="pending"/>
    <x v="0"/>
    <n v="5"/>
    <x v="0"/>
    <s v="VIP"/>
  </r>
  <r>
    <s v="ORD-1571"/>
    <x v="369"/>
    <m/>
    <s v=""/>
    <m/>
    <s v="Unknown Customer"/>
    <s v="Asia"/>
    <x v="1"/>
    <s v="Web"/>
    <x v="0"/>
    <s v="Laptop"/>
    <x v="1"/>
    <s v="two"/>
    <n v="2"/>
    <n v="2103.08"/>
    <x v="425"/>
    <s v="EUR"/>
    <s v="EUR"/>
    <m/>
    <x v="3"/>
    <m/>
    <x v="3"/>
    <s v="late delivery"/>
  </r>
  <r>
    <n v="1572"/>
    <x v="370"/>
    <s v="06-21-2024"/>
    <s v=""/>
    <s v="Cust. 572"/>
    <s v="Customer 572"/>
    <s v="europe"/>
    <x v="2"/>
    <s v="Online"/>
    <x v="0"/>
    <s v="phone"/>
    <x v="2"/>
    <n v="1"/>
    <n v="1"/>
    <s v="$1515.36"/>
    <x v="426"/>
    <m/>
    <s v="Unknown"/>
    <s v="Delivered"/>
    <x v="1"/>
    <n v="3"/>
    <x v="1"/>
    <s v="VIP"/>
  </r>
  <r>
    <n v="1573"/>
    <x v="371"/>
    <s v="2024-01-25"/>
    <d v="2024-01-25T00:00:00"/>
    <s v="Customer 573"/>
    <s v="Customer 573"/>
    <s v="U.S."/>
    <x v="3"/>
    <s v="Mobile"/>
    <x v="2"/>
    <s v="phone"/>
    <x v="2"/>
    <n v="1"/>
    <n v="1"/>
    <m/>
    <x v="7"/>
    <m/>
    <s v="Unknown"/>
    <s v="pending"/>
    <x v="0"/>
    <n v="5"/>
    <x v="0"/>
    <m/>
  </r>
  <r>
    <m/>
    <x v="1"/>
    <s v="04-17-2024"/>
    <s v=""/>
    <s v="Cust. 574"/>
    <s v="Customer 574"/>
    <s v="europe"/>
    <x v="2"/>
    <m/>
    <x v="1"/>
    <s v="TABLET"/>
    <x v="0"/>
    <n v="3"/>
    <n v="3"/>
    <n v="1074.58"/>
    <x v="427"/>
    <s v="USD"/>
    <s v="USD"/>
    <s v="RETURNED"/>
    <x v="2"/>
    <n v="5"/>
    <x v="0"/>
    <s v="VIP"/>
  </r>
  <r>
    <n v="1575"/>
    <x v="372"/>
    <s v="15/11/2024"/>
    <d v="2024-11-15T00:00:00"/>
    <m/>
    <s v="Unknown Customer"/>
    <s v="US"/>
    <x v="3"/>
    <m/>
    <x v="1"/>
    <m/>
    <x v="3"/>
    <s v="two"/>
    <n v="2"/>
    <s v="1570.34 EUR"/>
    <x v="428"/>
    <s v="€"/>
    <s v="EUR"/>
    <m/>
    <x v="3"/>
    <s v="five"/>
    <x v="0"/>
    <m/>
  </r>
  <r>
    <m/>
    <x v="1"/>
    <s v="16/10/2024"/>
    <d v="2024-10-16T00:00:00"/>
    <s v="Cust. 576"/>
    <s v="Customer 576"/>
    <s v="europe"/>
    <x v="2"/>
    <s v="Online"/>
    <x v="0"/>
    <s v="Lapotp"/>
    <x v="1"/>
    <n v="2"/>
    <n v="2"/>
    <n v="2193.5100000000002"/>
    <x v="429"/>
    <s v="€"/>
    <s v="EUR"/>
    <s v="RETURNED"/>
    <x v="2"/>
    <n v="5"/>
    <x v="0"/>
    <s v="VIP"/>
  </r>
  <r>
    <s v="ORD-1577"/>
    <x v="373"/>
    <s v="02-02-2024"/>
    <d v="2024-02-02T00:00:00"/>
    <s v="customer 577"/>
    <s v="Customer 577"/>
    <s v="Asia"/>
    <x v="1"/>
    <m/>
    <x v="1"/>
    <s v="TABLET"/>
    <x v="0"/>
    <n v="2"/>
    <n v="2"/>
    <m/>
    <x v="7"/>
    <s v="$"/>
    <s v="USD"/>
    <s v="Delivered"/>
    <x v="1"/>
    <n v="1"/>
    <x v="4"/>
    <s v="late delivery"/>
  </r>
  <r>
    <s v="ORD-1578"/>
    <x v="374"/>
    <m/>
    <s v=""/>
    <m/>
    <s v="Unknown Customer"/>
    <s v="europe"/>
    <x v="2"/>
    <m/>
    <x v="1"/>
    <s v="Laptop"/>
    <x v="1"/>
    <n v="2"/>
    <n v="2"/>
    <s v="$131.73"/>
    <x v="430"/>
    <s v="USD"/>
    <s v="USD"/>
    <s v="RETURNED"/>
    <x v="2"/>
    <n v="2"/>
    <x v="2"/>
    <m/>
  </r>
  <r>
    <m/>
    <x v="1"/>
    <s v="12/05/2024"/>
    <d v="2024-05-12T00:00:00"/>
    <s v="Customer 579"/>
    <s v="Customer 579"/>
    <m/>
    <x v="0"/>
    <s v="Mobile"/>
    <x v="2"/>
    <m/>
    <x v="3"/>
    <n v="1"/>
    <n v="1"/>
    <s v="$2379.53"/>
    <x v="431"/>
    <s v="EUR"/>
    <s v="EUR"/>
    <s v="Delivered"/>
    <x v="1"/>
    <n v="3"/>
    <x v="1"/>
    <s v="VIP"/>
  </r>
  <r>
    <s v="ORD-1580"/>
    <x v="375"/>
    <s v="2024-02-02"/>
    <d v="2024-02-02T00:00:00"/>
    <m/>
    <s v="Unknown Customer"/>
    <m/>
    <x v="0"/>
    <m/>
    <x v="1"/>
    <m/>
    <x v="3"/>
    <n v="2"/>
    <n v="2"/>
    <m/>
    <x v="7"/>
    <s v="USD"/>
    <s v="USD"/>
    <s v="Delivered"/>
    <x v="1"/>
    <s v="five"/>
    <x v="0"/>
    <m/>
  </r>
  <r>
    <s v="ORD-1581"/>
    <x v="376"/>
    <s v="2024-09-24"/>
    <d v="2024-09-24T00:00:00"/>
    <s v="customer 581"/>
    <s v="Customer 581"/>
    <s v="U.S."/>
    <x v="3"/>
    <s v="Online"/>
    <x v="0"/>
    <m/>
    <x v="3"/>
    <n v="3"/>
    <n v="3"/>
    <s v="$2009.44"/>
    <x v="432"/>
    <s v="€"/>
    <s v="EUR"/>
    <s v="pending"/>
    <x v="0"/>
    <m/>
    <x v="3"/>
    <m/>
  </r>
  <r>
    <s v="ORD-1582"/>
    <x v="377"/>
    <s v="16/02/2025"/>
    <d v="2025-02-16T00:00:00"/>
    <s v="customer 582"/>
    <s v="Customer 582"/>
    <s v="EU"/>
    <x v="2"/>
    <s v="Online"/>
    <x v="0"/>
    <s v="Lapotp"/>
    <x v="1"/>
    <n v="3"/>
    <n v="3"/>
    <s v="2257.7 EUR"/>
    <x v="433"/>
    <s v="$"/>
    <s v="USD"/>
    <s v="RETURNED"/>
    <x v="2"/>
    <n v="3"/>
    <x v="1"/>
    <m/>
  </r>
  <r>
    <s v="ORD-1583"/>
    <x v="378"/>
    <m/>
    <s v=""/>
    <m/>
    <s v="Unknown Customer"/>
    <m/>
    <x v="0"/>
    <s v="Online"/>
    <x v="0"/>
    <s v="phone"/>
    <x v="2"/>
    <n v="2"/>
    <n v="2"/>
    <n v="1623.74"/>
    <x v="434"/>
    <s v="€"/>
    <s v="EUR"/>
    <s v="RETURNED"/>
    <x v="2"/>
    <m/>
    <x v="3"/>
    <s v="VIP"/>
  </r>
  <r>
    <m/>
    <x v="1"/>
    <s v="2025-02-24"/>
    <d v="2025-02-24T00:00:00"/>
    <s v="customer 584"/>
    <s v="Customer 584"/>
    <s v="Asia"/>
    <x v="1"/>
    <s v="Web"/>
    <x v="0"/>
    <s v="phone"/>
    <x v="2"/>
    <n v="3"/>
    <n v="3"/>
    <n v="959.11"/>
    <x v="435"/>
    <s v="€"/>
    <s v="EUR"/>
    <m/>
    <x v="3"/>
    <n v="1"/>
    <x v="4"/>
    <s v="late delivery"/>
  </r>
  <r>
    <s v="ORD-1585"/>
    <x v="379"/>
    <s v="08-14-2024"/>
    <s v=""/>
    <s v="Customer 585"/>
    <s v="Customer 585"/>
    <m/>
    <x v="0"/>
    <s v="Online"/>
    <x v="0"/>
    <s v="phone"/>
    <x v="2"/>
    <n v="2"/>
    <n v="2"/>
    <m/>
    <x v="7"/>
    <s v="USD"/>
    <s v="USD"/>
    <s v="RETURNED"/>
    <x v="2"/>
    <m/>
    <x v="3"/>
    <s v="VIP"/>
  </r>
  <r>
    <n v="1586"/>
    <x v="380"/>
    <s v="02-19-2025"/>
    <s v=""/>
    <s v="Customer 586"/>
    <s v="Customer 586"/>
    <m/>
    <x v="0"/>
    <s v="Mobile"/>
    <x v="2"/>
    <s v="phone"/>
    <x v="2"/>
    <s v="two"/>
    <n v="2"/>
    <m/>
    <x v="7"/>
    <s v="€"/>
    <s v="EUR"/>
    <m/>
    <x v="3"/>
    <n v="5"/>
    <x v="0"/>
    <m/>
  </r>
  <r>
    <s v="ORD-1587"/>
    <x v="381"/>
    <m/>
    <s v=""/>
    <s v="Cust. 587"/>
    <s v="Customer 587"/>
    <s v="europe"/>
    <x v="2"/>
    <m/>
    <x v="1"/>
    <s v="Laptop"/>
    <x v="1"/>
    <n v="1"/>
    <n v="1"/>
    <n v="2110.52"/>
    <x v="436"/>
    <s v="USD"/>
    <s v="USD"/>
    <m/>
    <x v="3"/>
    <n v="5"/>
    <x v="0"/>
    <s v="late delivery"/>
  </r>
  <r>
    <s v="ORD-1588"/>
    <x v="382"/>
    <s v="2024-01-02"/>
    <d v="2024-01-02T00:00:00"/>
    <s v="Customer 588"/>
    <s v="Customer 588"/>
    <s v="US"/>
    <x v="3"/>
    <s v="Online"/>
    <x v="0"/>
    <s v="TABLET"/>
    <x v="0"/>
    <n v="2"/>
    <n v="2"/>
    <s v="$1231.95"/>
    <x v="437"/>
    <m/>
    <s v="Unknown"/>
    <m/>
    <x v="3"/>
    <n v="5"/>
    <x v="0"/>
    <s v="VIP"/>
  </r>
  <r>
    <s v="ORD-1589"/>
    <x v="383"/>
    <s v="19/08/2024"/>
    <d v="2024-08-19T00:00:00"/>
    <s v="Cust. 589"/>
    <s v="Customer 589"/>
    <m/>
    <x v="0"/>
    <s v="Mobile"/>
    <x v="2"/>
    <s v="Lapotp"/>
    <x v="1"/>
    <n v="1"/>
    <n v="1"/>
    <s v="1461.18 EUR"/>
    <x v="438"/>
    <s v="$"/>
    <s v="USD"/>
    <s v="RETURNED"/>
    <x v="2"/>
    <n v="2"/>
    <x v="2"/>
    <m/>
  </r>
  <r>
    <n v="1590"/>
    <x v="384"/>
    <s v="2024-07-12"/>
    <d v="2024-07-12T00:00:00"/>
    <s v="customer 590"/>
    <s v="Customer 590"/>
    <s v="EU"/>
    <x v="2"/>
    <s v="Mobile"/>
    <x v="2"/>
    <s v="Lapotp"/>
    <x v="1"/>
    <n v="3"/>
    <n v="3"/>
    <s v="2837.03 EUR"/>
    <x v="439"/>
    <s v="USD"/>
    <s v="USD"/>
    <s v="Delivered"/>
    <x v="1"/>
    <n v="5"/>
    <x v="0"/>
    <m/>
  </r>
  <r>
    <s v="ORD-1591"/>
    <x v="385"/>
    <s v="03/11/2024"/>
    <d v="2024-11-03T00:00:00"/>
    <s v="Customer 591"/>
    <s v="Customer 591"/>
    <s v="EU"/>
    <x v="2"/>
    <m/>
    <x v="1"/>
    <s v="TABLET"/>
    <x v="0"/>
    <s v="two"/>
    <n v="2"/>
    <n v="817.47"/>
    <x v="440"/>
    <s v="$"/>
    <s v="USD"/>
    <m/>
    <x v="3"/>
    <n v="5"/>
    <x v="0"/>
    <m/>
  </r>
  <r>
    <s v="ORD-1592"/>
    <x v="386"/>
    <s v="04-24-2024"/>
    <s v=""/>
    <m/>
    <s v="Unknown Customer"/>
    <s v="europe"/>
    <x v="2"/>
    <s v="Online"/>
    <x v="0"/>
    <s v="phone"/>
    <x v="2"/>
    <n v="2"/>
    <n v="2"/>
    <s v="2155.01 EUR"/>
    <x v="441"/>
    <m/>
    <s v="Unknown"/>
    <s v="Delivered"/>
    <x v="1"/>
    <n v="3"/>
    <x v="1"/>
    <s v="late delivery"/>
  </r>
  <r>
    <n v="1593"/>
    <x v="387"/>
    <s v="08-02-2024"/>
    <d v="2024-02-08T00:00:00"/>
    <s v="Cust. 593"/>
    <s v="Customer 593"/>
    <s v="US"/>
    <x v="3"/>
    <s v="Web"/>
    <x v="0"/>
    <s v="phone"/>
    <x v="2"/>
    <n v="2"/>
    <n v="2"/>
    <s v="582.09 EUR"/>
    <x v="442"/>
    <s v="€"/>
    <s v="EUR"/>
    <s v="pending"/>
    <x v="0"/>
    <m/>
    <x v="3"/>
    <m/>
  </r>
  <r>
    <s v="ORD-1594"/>
    <x v="388"/>
    <m/>
    <s v=""/>
    <s v="customer 594"/>
    <s v="Customer 594"/>
    <m/>
    <x v="0"/>
    <s v="Mobile"/>
    <x v="2"/>
    <s v="TABLET"/>
    <x v="0"/>
    <s v="two"/>
    <n v="2"/>
    <s v="80.44 EUR"/>
    <x v="443"/>
    <m/>
    <s v="Unknown"/>
    <s v="RETURNED"/>
    <x v="2"/>
    <n v="1"/>
    <x v="4"/>
    <m/>
  </r>
  <r>
    <n v="1595"/>
    <x v="389"/>
    <m/>
    <s v=""/>
    <s v="Cust. 595"/>
    <s v="Customer 595"/>
    <s v="U.S."/>
    <x v="3"/>
    <m/>
    <x v="1"/>
    <m/>
    <x v="3"/>
    <m/>
    <s v="Unknown"/>
    <s v="$223.32"/>
    <x v="444"/>
    <s v="EUR"/>
    <s v="EUR"/>
    <s v="Delivered"/>
    <x v="1"/>
    <n v="3"/>
    <x v="1"/>
    <m/>
  </r>
  <r>
    <n v="1596"/>
    <x v="390"/>
    <s v="2024-06-03"/>
    <d v="2024-06-03T00:00:00"/>
    <s v="customer 596"/>
    <s v="Customer 596"/>
    <s v="Asia"/>
    <x v="1"/>
    <s v="Online"/>
    <x v="0"/>
    <s v="TABLET"/>
    <x v="0"/>
    <s v="two"/>
    <n v="2"/>
    <s v="$2933.7"/>
    <x v="445"/>
    <s v="€"/>
    <s v="EUR"/>
    <s v="RETURNED"/>
    <x v="2"/>
    <n v="2"/>
    <x v="2"/>
    <m/>
  </r>
  <r>
    <n v="1597"/>
    <x v="391"/>
    <s v="06-11-2024"/>
    <d v="2024-11-06T00:00:00"/>
    <s v="Customer 597"/>
    <s v="Customer 597"/>
    <s v="Asia"/>
    <x v="1"/>
    <s v="Online"/>
    <x v="0"/>
    <s v="Lapotp"/>
    <x v="1"/>
    <s v="two"/>
    <n v="2"/>
    <m/>
    <x v="7"/>
    <s v="€"/>
    <s v="EUR"/>
    <m/>
    <x v="3"/>
    <n v="3"/>
    <x v="1"/>
    <m/>
  </r>
  <r>
    <m/>
    <x v="1"/>
    <s v="05-24-2024"/>
    <s v=""/>
    <s v="Cust. 598"/>
    <s v="Customer 598"/>
    <s v="europe"/>
    <x v="2"/>
    <s v="Online"/>
    <x v="0"/>
    <s v="phone"/>
    <x v="2"/>
    <s v="two"/>
    <n v="2"/>
    <s v="$2713.24"/>
    <x v="446"/>
    <s v="USD"/>
    <s v="USD"/>
    <s v="pending"/>
    <x v="0"/>
    <m/>
    <x v="3"/>
    <m/>
  </r>
  <r>
    <n v="1599"/>
    <x v="392"/>
    <s v="28/01/2024"/>
    <d v="2024-01-28T00:00:00"/>
    <s v="Customer 599"/>
    <s v="Customer 599"/>
    <s v="europe"/>
    <x v="2"/>
    <s v="Mobile"/>
    <x v="2"/>
    <s v="Lapotp"/>
    <x v="1"/>
    <s v="two"/>
    <n v="2"/>
    <n v="607.30999999999995"/>
    <x v="447"/>
    <s v="$"/>
    <s v="USD"/>
    <s v="Delivered"/>
    <x v="1"/>
    <n v="5"/>
    <x v="0"/>
    <m/>
  </r>
  <r>
    <s v="ORD-1600"/>
    <x v="393"/>
    <m/>
    <s v=""/>
    <s v="Customer 600"/>
    <s v="Customer 600"/>
    <m/>
    <x v="0"/>
    <m/>
    <x v="1"/>
    <m/>
    <x v="3"/>
    <n v="2"/>
    <n v="2"/>
    <m/>
    <x v="7"/>
    <s v="EUR"/>
    <s v="EUR"/>
    <s v="RETURNED"/>
    <x v="2"/>
    <n v="1"/>
    <x v="4"/>
    <s v="late delivery"/>
  </r>
  <r>
    <m/>
    <x v="1"/>
    <s v="05-25-2024"/>
    <s v=""/>
    <s v="customer 601"/>
    <s v="Customer 601"/>
    <s v="U.S."/>
    <x v="3"/>
    <s v="Online"/>
    <x v="0"/>
    <s v="TABLET"/>
    <x v="0"/>
    <m/>
    <s v="Unknown"/>
    <s v="582.93 EUR"/>
    <x v="448"/>
    <s v="USD"/>
    <s v="USD"/>
    <s v="RETURNED"/>
    <x v="2"/>
    <n v="1"/>
    <x v="4"/>
    <s v="late delivery"/>
  </r>
  <r>
    <s v="ORD-1602"/>
    <x v="394"/>
    <s v="2025-01-28"/>
    <d v="2025-01-28T00:00:00"/>
    <s v="Cust. 602"/>
    <s v="Customer 602"/>
    <m/>
    <x v="0"/>
    <m/>
    <x v="1"/>
    <s v="Laptop"/>
    <x v="1"/>
    <s v="two"/>
    <n v="2"/>
    <n v="1519.43"/>
    <x v="449"/>
    <s v="€"/>
    <s v="EUR"/>
    <s v="pending"/>
    <x v="0"/>
    <n v="1"/>
    <x v="4"/>
    <s v="VIP"/>
  </r>
  <r>
    <m/>
    <x v="1"/>
    <m/>
    <s v=""/>
    <m/>
    <s v="Unknown Customer"/>
    <m/>
    <x v="0"/>
    <s v="Mobile"/>
    <x v="2"/>
    <s v="TABLET"/>
    <x v="0"/>
    <n v="1"/>
    <n v="1"/>
    <m/>
    <x v="7"/>
    <s v="€"/>
    <s v="EUR"/>
    <s v="Delivered"/>
    <x v="1"/>
    <m/>
    <x v="3"/>
    <m/>
  </r>
  <r>
    <n v="1604"/>
    <x v="395"/>
    <s v="2024-06-15"/>
    <d v="2024-06-15T00:00:00"/>
    <s v="Cust. 604"/>
    <s v="Customer 604"/>
    <s v="Asia"/>
    <x v="1"/>
    <s v="Online"/>
    <x v="0"/>
    <s v="TABLET"/>
    <x v="0"/>
    <n v="1"/>
    <n v="1"/>
    <s v="2844.88 EUR"/>
    <x v="450"/>
    <m/>
    <s v="Unknown"/>
    <s v="pending"/>
    <x v="0"/>
    <n v="5"/>
    <x v="0"/>
    <m/>
  </r>
  <r>
    <s v="ORD-1605"/>
    <x v="396"/>
    <s v="2024-07-23"/>
    <d v="2024-07-23T00:00:00"/>
    <s v="Customer 605"/>
    <s v="Customer 605"/>
    <m/>
    <x v="0"/>
    <s v="Online"/>
    <x v="0"/>
    <s v="Lapotp"/>
    <x v="1"/>
    <s v="two"/>
    <n v="2"/>
    <s v="802.73 EUR"/>
    <x v="451"/>
    <s v="$"/>
    <s v="USD"/>
    <s v="RETURNED"/>
    <x v="2"/>
    <m/>
    <x v="3"/>
    <s v="late delivery"/>
  </r>
  <r>
    <m/>
    <x v="1"/>
    <s v="03-02-2024"/>
    <d v="2024-02-03T00:00:00"/>
    <s v="customer 606"/>
    <s v="Customer 606"/>
    <s v="Asia"/>
    <x v="1"/>
    <m/>
    <x v="1"/>
    <s v="Laptop"/>
    <x v="1"/>
    <n v="3"/>
    <n v="3"/>
    <m/>
    <x v="7"/>
    <m/>
    <s v="Unknown"/>
    <s v="Delivered"/>
    <x v="1"/>
    <n v="5"/>
    <x v="0"/>
    <m/>
  </r>
  <r>
    <n v="1607"/>
    <x v="397"/>
    <m/>
    <s v=""/>
    <s v="Cust. 607"/>
    <s v="Customer 607"/>
    <s v="U.S."/>
    <x v="3"/>
    <s v="Online"/>
    <x v="0"/>
    <s v="phone"/>
    <x v="2"/>
    <s v="two"/>
    <n v="2"/>
    <m/>
    <x v="7"/>
    <s v="EUR"/>
    <s v="EUR"/>
    <s v="Delivered"/>
    <x v="1"/>
    <s v="five"/>
    <x v="0"/>
    <s v="VIP"/>
  </r>
  <r>
    <s v="ORD-1608"/>
    <x v="398"/>
    <s v="2024-08-25"/>
    <d v="2024-08-25T00:00:00"/>
    <s v="Cust. 608"/>
    <s v="Customer 608"/>
    <s v="europe"/>
    <x v="2"/>
    <s v="Mobile"/>
    <x v="2"/>
    <s v="Laptop"/>
    <x v="1"/>
    <s v="two"/>
    <n v="2"/>
    <s v="2045.5 EUR"/>
    <x v="452"/>
    <s v="€"/>
    <s v="EUR"/>
    <s v="Delivered"/>
    <x v="1"/>
    <n v="2"/>
    <x v="2"/>
    <s v="VIP"/>
  </r>
  <r>
    <m/>
    <x v="1"/>
    <s v="2024-05-07"/>
    <d v="2024-05-07T00:00:00"/>
    <s v="Customer 609"/>
    <s v="Customer 609"/>
    <s v="EU"/>
    <x v="2"/>
    <s v="Web"/>
    <x v="0"/>
    <s v="Laptop"/>
    <x v="1"/>
    <m/>
    <s v="Unknown"/>
    <s v="$1593.12"/>
    <x v="453"/>
    <s v="$"/>
    <s v="USD"/>
    <s v="RETURNED"/>
    <x v="2"/>
    <n v="1"/>
    <x v="4"/>
    <m/>
  </r>
  <r>
    <s v="ORD-1610"/>
    <x v="399"/>
    <s v="12-04-2024"/>
    <d v="2024-04-12T00:00:00"/>
    <s v="Customer 610"/>
    <s v="Customer 610"/>
    <m/>
    <x v="0"/>
    <s v="Web"/>
    <x v="0"/>
    <s v="Laptop"/>
    <x v="1"/>
    <n v="1"/>
    <n v="1"/>
    <s v="$2174.91"/>
    <x v="454"/>
    <s v="$"/>
    <s v="USD"/>
    <s v="Delivered"/>
    <x v="1"/>
    <n v="2"/>
    <x v="2"/>
    <m/>
  </r>
  <r>
    <s v="ORD-1611"/>
    <x v="400"/>
    <m/>
    <s v=""/>
    <m/>
    <s v="Unknown Customer"/>
    <s v="U.S."/>
    <x v="3"/>
    <s v="Mobile"/>
    <x v="2"/>
    <s v="phone"/>
    <x v="2"/>
    <n v="2"/>
    <n v="2"/>
    <s v="$295.71"/>
    <x v="455"/>
    <s v="USD"/>
    <s v="USD"/>
    <s v="Delivered"/>
    <x v="1"/>
    <n v="1"/>
    <x v="4"/>
    <s v="VIP"/>
  </r>
  <r>
    <n v="1612"/>
    <x v="401"/>
    <m/>
    <s v=""/>
    <s v="Customer 612"/>
    <s v="Customer 612"/>
    <s v="EU"/>
    <x v="2"/>
    <s v="Online"/>
    <x v="0"/>
    <s v="TABLET"/>
    <x v="0"/>
    <s v="two"/>
    <n v="2"/>
    <n v="363.68"/>
    <x v="456"/>
    <s v="$"/>
    <s v="USD"/>
    <m/>
    <x v="3"/>
    <n v="5"/>
    <x v="0"/>
    <m/>
  </r>
  <r>
    <m/>
    <x v="1"/>
    <m/>
    <s v=""/>
    <s v="Cust. 613"/>
    <s v="Customer 613"/>
    <s v="EU"/>
    <x v="2"/>
    <s v="Online"/>
    <x v="0"/>
    <s v="Lapotp"/>
    <x v="1"/>
    <n v="1"/>
    <n v="1"/>
    <s v="$1874.57"/>
    <x v="457"/>
    <s v="USD"/>
    <s v="USD"/>
    <s v="Delivered"/>
    <x v="1"/>
    <n v="1"/>
    <x v="4"/>
    <s v="late delivery"/>
  </r>
  <r>
    <m/>
    <x v="1"/>
    <s v="14/01/2024"/>
    <d v="2024-01-14T00:00:00"/>
    <m/>
    <s v="Unknown Customer"/>
    <m/>
    <x v="0"/>
    <m/>
    <x v="1"/>
    <m/>
    <x v="3"/>
    <m/>
    <s v="Unknown"/>
    <s v="667.23 EUR"/>
    <x v="458"/>
    <s v="USD"/>
    <s v="USD"/>
    <s v="Delivered"/>
    <x v="1"/>
    <n v="3"/>
    <x v="1"/>
    <m/>
  </r>
  <r>
    <n v="1615"/>
    <x v="402"/>
    <s v="16/03/2024"/>
    <d v="2024-03-16T00:00:00"/>
    <s v="customer 615"/>
    <s v="Customer 615"/>
    <m/>
    <x v="0"/>
    <m/>
    <x v="1"/>
    <s v="phone"/>
    <x v="2"/>
    <s v="two"/>
    <n v="2"/>
    <n v="1448.27"/>
    <x v="459"/>
    <s v="$"/>
    <s v="USD"/>
    <s v="Delivered"/>
    <x v="1"/>
    <n v="5"/>
    <x v="0"/>
    <s v="late delivery"/>
  </r>
  <r>
    <n v="1616"/>
    <x v="403"/>
    <s v="04-13-2024"/>
    <s v=""/>
    <s v="Customer 616"/>
    <s v="Customer 616"/>
    <s v="EU"/>
    <x v="2"/>
    <m/>
    <x v="1"/>
    <m/>
    <x v="3"/>
    <s v="two"/>
    <n v="2"/>
    <m/>
    <x v="7"/>
    <s v="$"/>
    <s v="USD"/>
    <s v="RETURNED"/>
    <x v="2"/>
    <m/>
    <x v="3"/>
    <s v="VIP"/>
  </r>
  <r>
    <m/>
    <x v="1"/>
    <m/>
    <s v=""/>
    <s v="customer 617"/>
    <s v="Customer 617"/>
    <m/>
    <x v="0"/>
    <s v="Online"/>
    <x v="0"/>
    <s v="TABLET"/>
    <x v="0"/>
    <n v="1"/>
    <n v="1"/>
    <m/>
    <x v="7"/>
    <s v="$"/>
    <s v="USD"/>
    <s v="pending"/>
    <x v="0"/>
    <n v="3"/>
    <x v="1"/>
    <m/>
  </r>
  <r>
    <s v="ORD-1618"/>
    <x v="404"/>
    <s v="2024-05-17"/>
    <d v="2024-05-17T00:00:00"/>
    <m/>
    <s v="Unknown Customer"/>
    <s v="U.S."/>
    <x v="3"/>
    <m/>
    <x v="1"/>
    <s v="phone"/>
    <x v="2"/>
    <s v="two"/>
    <n v="2"/>
    <m/>
    <x v="7"/>
    <s v="$"/>
    <s v="USD"/>
    <s v="Delivered"/>
    <x v="1"/>
    <n v="2"/>
    <x v="2"/>
    <s v="VIP"/>
  </r>
  <r>
    <s v="ORD-1619"/>
    <x v="405"/>
    <s v="06/01/2025"/>
    <d v="2025-01-06T00:00:00"/>
    <s v="customer 619"/>
    <s v="Customer 619"/>
    <s v="U.S."/>
    <x v="3"/>
    <m/>
    <x v="1"/>
    <s v="phone"/>
    <x v="2"/>
    <m/>
    <s v="Unknown"/>
    <s v="$616.99"/>
    <x v="460"/>
    <s v="$"/>
    <s v="USD"/>
    <s v="Delivered"/>
    <x v="1"/>
    <n v="3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A24B6-0362-4E3B-B8C2-83DBEA08DF60}" name="PivotTable8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K4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4"/>
        <item x="2"/>
        <item x="1"/>
        <item x="0"/>
        <item x="3"/>
        <item t="default"/>
      </items>
    </pivotField>
    <pivotField showAll="0"/>
  </pivotFields>
  <rowItems count="1">
    <i/>
  </rowItems>
  <colItems count="1">
    <i/>
  </colItems>
  <dataFields count="1">
    <dataField name="Average of delivery_days_clean" fld="21" subtotal="average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80EA9-DEEA-4EA3-84FF-0A83F6696403}" name="PivotTable6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2:G17" firstHeaderRow="1" firstDataRow="1" firstDataCol="1"/>
  <pivotFields count="2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9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order_id_clean" fld="1" subtotal="count" baseField="0" baseItem="0"/>
  </dataField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1DE2F-20B9-4A57-B0E7-804D70D6A5A0}" name="PivotTable5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7" firstHeaderRow="1" firstDataRow="1" firstDataCol="1"/>
  <pivotFields count="23">
    <pivotField showAll="0"/>
    <pivotField dataField="1" showAll="0">
      <items count="407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_cle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B1619-41EE-4B58-9880-9388016CA639}" name="PivotTable4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G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462">
        <item x="230"/>
        <item x="401"/>
        <item x="375"/>
        <item x="443"/>
        <item x="173"/>
        <item x="407"/>
        <item x="70"/>
        <item x="295"/>
        <item x="81"/>
        <item x="204"/>
        <item x="325"/>
        <item x="430"/>
        <item x="38"/>
        <item x="345"/>
        <item x="324"/>
        <item x="160"/>
        <item x="207"/>
        <item x="156"/>
        <item x="118"/>
        <item x="112"/>
        <item x="102"/>
        <item x="97"/>
        <item x="43"/>
        <item x="371"/>
        <item x="224"/>
        <item x="378"/>
        <item x="398"/>
        <item x="444"/>
        <item x="423"/>
        <item x="267"/>
        <item x="19"/>
        <item x="35"/>
        <item x="4"/>
        <item x="386"/>
        <item x="197"/>
        <item x="181"/>
        <item x="85"/>
        <item x="304"/>
        <item x="88"/>
        <item x="455"/>
        <item x="171"/>
        <item x="168"/>
        <item x="288"/>
        <item x="329"/>
        <item x="183"/>
        <item x="1"/>
        <item x="66"/>
        <item x="189"/>
        <item x="101"/>
        <item x="456"/>
        <item x="0"/>
        <item x="424"/>
        <item x="380"/>
        <item x="343"/>
        <item x="244"/>
        <item x="74"/>
        <item x="360"/>
        <item x="89"/>
        <item x="24"/>
        <item x="52"/>
        <item x="394"/>
        <item x="334"/>
        <item x="163"/>
        <item x="194"/>
        <item x="77"/>
        <item x="245"/>
        <item x="142"/>
        <item x="352"/>
        <item x="146"/>
        <item x="49"/>
        <item x="45"/>
        <item x="211"/>
        <item x="382"/>
        <item x="404"/>
        <item x="208"/>
        <item x="17"/>
        <item x="374"/>
        <item x="255"/>
        <item x="306"/>
        <item x="159"/>
        <item x="268"/>
        <item x="414"/>
        <item x="442"/>
        <item x="448"/>
        <item x="158"/>
        <item x="299"/>
        <item x="447"/>
        <item x="229"/>
        <item x="460"/>
        <item x="337"/>
        <item x="269"/>
        <item x="179"/>
        <item x="135"/>
        <item x="182"/>
        <item x="458"/>
        <item x="410"/>
        <item x="246"/>
        <item x="23"/>
        <item x="210"/>
        <item x="79"/>
        <item x="131"/>
        <item x="65"/>
        <item x="40"/>
        <item x="177"/>
        <item x="251"/>
        <item x="12"/>
        <item x="147"/>
        <item x="219"/>
        <item x="50"/>
        <item x="347"/>
        <item x="393"/>
        <item x="125"/>
        <item x="136"/>
        <item x="377"/>
        <item x="130"/>
        <item x="322"/>
        <item x="132"/>
        <item x="308"/>
        <item x="243"/>
        <item x="140"/>
        <item x="451"/>
        <item x="440"/>
        <item x="129"/>
        <item x="252"/>
        <item x="277"/>
        <item x="188"/>
        <item x="72"/>
        <item x="203"/>
        <item x="186"/>
        <item x="199"/>
        <item x="282"/>
        <item x="48"/>
        <item x="98"/>
        <item x="9"/>
        <item x="300"/>
        <item x="218"/>
        <item x="127"/>
        <item x="149"/>
        <item x="137"/>
        <item x="84"/>
        <item x="41"/>
        <item x="435"/>
        <item x="323"/>
        <item x="344"/>
        <item x="6"/>
        <item x="281"/>
        <item x="44"/>
        <item x="133"/>
        <item x="399"/>
        <item x="233"/>
        <item x="427"/>
        <item x="162"/>
        <item x="239"/>
        <item x="273"/>
        <item x="5"/>
        <item x="214"/>
        <item x="346"/>
        <item x="99"/>
        <item x="248"/>
        <item x="107"/>
        <item x="264"/>
        <item x="178"/>
        <item x="275"/>
        <item x="10"/>
        <item x="91"/>
        <item x="122"/>
        <item x="298"/>
        <item x="134"/>
        <item x="60"/>
        <item x="260"/>
        <item x="341"/>
        <item x="212"/>
        <item x="151"/>
        <item x="320"/>
        <item x="312"/>
        <item x="167"/>
        <item x="8"/>
        <item x="437"/>
        <item x="14"/>
        <item x="53"/>
        <item x="326"/>
        <item x="302"/>
        <item x="121"/>
        <item x="152"/>
        <item x="31"/>
        <item x="392"/>
        <item x="95"/>
        <item x="115"/>
        <item x="187"/>
        <item x="356"/>
        <item x="29"/>
        <item x="28"/>
        <item x="313"/>
        <item x="379"/>
        <item x="150"/>
        <item x="327"/>
        <item x="59"/>
        <item x="287"/>
        <item x="71"/>
        <item x="103"/>
        <item x="316"/>
        <item x="376"/>
        <item x="73"/>
        <item x="216"/>
        <item x="175"/>
        <item x="21"/>
        <item x="293"/>
        <item x="155"/>
        <item x="184"/>
        <item x="420"/>
        <item x="237"/>
        <item x="366"/>
        <item x="303"/>
        <item x="459"/>
        <item x="348"/>
        <item x="438"/>
        <item x="124"/>
        <item x="319"/>
        <item x="390"/>
        <item x="191"/>
        <item x="402"/>
        <item x="138"/>
        <item x="426"/>
        <item x="372"/>
        <item x="449"/>
        <item x="419"/>
        <item x="63"/>
        <item x="94"/>
        <item x="311"/>
        <item x="55"/>
        <item x="266"/>
        <item x="13"/>
        <item x="428"/>
        <item x="110"/>
        <item x="201"/>
        <item x="453"/>
        <item x="340"/>
        <item x="261"/>
        <item x="434"/>
        <item x="92"/>
        <item x="272"/>
        <item x="297"/>
        <item x="116"/>
        <item x="396"/>
        <item x="196"/>
        <item x="397"/>
        <item x="123"/>
        <item x="114"/>
        <item x="117"/>
        <item x="422"/>
        <item x="357"/>
        <item x="368"/>
        <item x="278"/>
        <item x="164"/>
        <item x="332"/>
        <item x="259"/>
        <item x="120"/>
        <item x="33"/>
        <item x="249"/>
        <item x="185"/>
        <item x="416"/>
        <item x="34"/>
        <item x="257"/>
        <item x="339"/>
        <item x="403"/>
        <item x="331"/>
        <item x="141"/>
        <item x="86"/>
        <item x="270"/>
        <item x="363"/>
        <item x="457"/>
        <item x="395"/>
        <item x="301"/>
        <item x="289"/>
        <item x="305"/>
        <item x="286"/>
        <item x="87"/>
        <item x="96"/>
        <item x="365"/>
        <item x="68"/>
        <item x="362"/>
        <item x="228"/>
        <item x="367"/>
        <item x="209"/>
        <item x="388"/>
        <item x="263"/>
        <item x="143"/>
        <item x="314"/>
        <item x="75"/>
        <item x="20"/>
        <item x="231"/>
        <item x="411"/>
        <item x="47"/>
        <item x="180"/>
        <item x="350"/>
        <item x="225"/>
        <item x="30"/>
        <item x="432"/>
        <item x="364"/>
        <item x="452"/>
        <item x="235"/>
        <item x="148"/>
        <item x="338"/>
        <item x="276"/>
        <item x="100"/>
        <item x="381"/>
        <item x="195"/>
        <item x="32"/>
        <item x="425"/>
        <item x="291"/>
        <item x="436"/>
        <item x="317"/>
        <item x="221"/>
        <item x="309"/>
        <item x="385"/>
        <item x="223"/>
        <item x="22"/>
        <item x="145"/>
        <item x="193"/>
        <item x="157"/>
        <item x="441"/>
        <item x="349"/>
        <item x="290"/>
        <item x="192"/>
        <item x="454"/>
        <item x="328"/>
        <item x="335"/>
        <item x="42"/>
        <item x="417"/>
        <item x="429"/>
        <item x="83"/>
        <item x="284"/>
        <item x="258"/>
        <item x="383"/>
        <item x="217"/>
        <item x="190"/>
        <item x="126"/>
        <item x="119"/>
        <item x="176"/>
        <item x="389"/>
        <item x="61"/>
        <item x="80"/>
        <item x="234"/>
        <item x="433"/>
        <item x="64"/>
        <item x="333"/>
        <item x="165"/>
        <item x="406"/>
        <item x="315"/>
        <item x="58"/>
        <item x="415"/>
        <item x="262"/>
        <item x="342"/>
        <item x="418"/>
        <item x="296"/>
        <item x="285"/>
        <item x="161"/>
        <item x="202"/>
        <item x="413"/>
        <item x="174"/>
        <item x="154"/>
        <item x="238"/>
        <item x="359"/>
        <item x="62"/>
        <item x="431"/>
        <item x="336"/>
        <item x="330"/>
        <item x="206"/>
        <item x="57"/>
        <item x="370"/>
        <item x="353"/>
        <item x="247"/>
        <item x="232"/>
        <item x="279"/>
        <item x="283"/>
        <item x="128"/>
        <item x="106"/>
        <item x="256"/>
        <item x="51"/>
        <item x="153"/>
        <item x="242"/>
        <item x="93"/>
        <item x="409"/>
        <item x="26"/>
        <item x="37"/>
        <item x="205"/>
        <item x="222"/>
        <item x="274"/>
        <item x="373"/>
        <item x="355"/>
        <item x="213"/>
        <item x="369"/>
        <item x="3"/>
        <item x="139"/>
        <item x="166"/>
        <item x="307"/>
        <item x="280"/>
        <item x="250"/>
        <item x="16"/>
        <item x="15"/>
        <item x="2"/>
        <item x="69"/>
        <item x="82"/>
        <item x="227"/>
        <item x="421"/>
        <item x="387"/>
        <item x="113"/>
        <item x="215"/>
        <item x="358"/>
        <item x="321"/>
        <item x="292"/>
        <item x="400"/>
        <item x="408"/>
        <item x="170"/>
        <item x="391"/>
        <item x="354"/>
        <item x="412"/>
        <item x="446"/>
        <item x="46"/>
        <item x="240"/>
        <item x="405"/>
        <item x="144"/>
        <item x="226"/>
        <item x="76"/>
        <item x="310"/>
        <item x="25"/>
        <item x="56"/>
        <item x="294"/>
        <item x="169"/>
        <item x="78"/>
        <item x="198"/>
        <item x="439"/>
        <item x="318"/>
        <item x="11"/>
        <item x="271"/>
        <item x="450"/>
        <item x="39"/>
        <item x="172"/>
        <item x="351"/>
        <item x="111"/>
        <item x="104"/>
        <item x="236"/>
        <item x="361"/>
        <item x="253"/>
        <item x="18"/>
        <item x="241"/>
        <item x="109"/>
        <item x="254"/>
        <item x="445"/>
        <item x="54"/>
        <item x="67"/>
        <item x="27"/>
        <item x="108"/>
        <item x="36"/>
        <item x="265"/>
        <item x="384"/>
        <item x="220"/>
        <item x="105"/>
        <item x="200"/>
        <item x="9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_clean" fld="15" baseField="9" baseItem="0" numFmtId="166"/>
  </dataFields>
  <formats count="2">
    <format dxfId="3">
      <pivotArea collapsedLevelsAreSubtotals="1" fieldPosition="0">
        <references count="1">
          <reference field="9" count="1">
            <x v="0"/>
          </reference>
        </references>
      </pivotArea>
    </format>
    <format dxfId="4">
      <pivotArea outline="0" collapsedLevelsAreSubtotals="1" fieldPosition="0"/>
    </format>
  </format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8DB8D-A1E1-4E5D-8F01-5FAED861192B}" name="PivotTable3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Revenue_clean" fld="15" baseField="7" baseItem="0" numFmtId="166"/>
  </dataFields>
  <formats count="1">
    <format dxfId="5">
      <pivotArea outline="0" collapsedLevelsAreSubtotals="1" fieldPosition="0"/>
    </format>
  </format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31705-1F00-479B-B17C-C94F77D54109}" name="Table1" displayName="Table1" ref="A1:W622" totalsRowCount="1" headerRowDxfId="21" headerRowBorderDxfId="22" tableBorderDxfId="23">
  <autoFilter ref="A1:W621" xr:uid="{7D731705-1F00-479B-B17C-C94F77D54109}"/>
  <tableColumns count="23">
    <tableColumn id="1" xr3:uid="{F7D43080-085E-4F1F-8ECB-C578875362A9}" name="order_id"/>
    <tableColumn id="22" xr3:uid="{90D5C6D8-88A8-47B7-8BDB-60B808C74B23}" name="order_id_clean" dataDxfId="7">
      <calculatedColumnFormula>IF(ISBLANK(Table1[[#This Row],[order_id]]),"",IF(LEFT(Table1[[#This Row],[order_id]],3)="ORD",Table1[[#This Row],[order_id]],"ORD-" &amp; Table1[[#This Row],[order_id]]))</calculatedColumnFormula>
    </tableColumn>
    <tableColumn id="2" xr3:uid="{5B320D1C-7C60-42E4-A773-487B903E328F}" name="order_date"/>
    <tableColumn id="3" xr3:uid="{0B288EF0-3AA6-49BB-9F51-3C8828C8F3E7}" name="order_date_clean" totalsRowFunction="custom" dataDxfId="20" totalsRowDxfId="9">
      <calculatedColumnFormula>IFERROR(DATEVALUE(Table1[[#This Row],[order_date]]),"")</calculatedColumnFormula>
      <totalsRowFormula>COUNTBLANK(Table1[order_date_clean])</totalsRowFormula>
    </tableColumn>
    <tableColumn id="4" xr3:uid="{EF2E7662-CCC8-48B5-86E9-51D7EA91403D}" name="customer_name"/>
    <tableColumn id="23" xr3:uid="{07421DB7-5C5C-46BA-9328-C8209C6593FF}" name="Customer_name_clean" dataDxfId="11">
      <calculatedColumnFormula>IF(ISBLANK(Table1[[#This Row],[customer_name]]),"Unknown Customer",PROPER(SUBSTITUTE(Table1[[#This Row],[customer_name]],"Cust.","Customer")))</calculatedColumnFormula>
    </tableColumn>
    <tableColumn id="5" xr3:uid="{93E36736-563C-4EFD-B0B5-E828BA50E95E}" name="region"/>
    <tableColumn id="15" xr3:uid="{60E3740F-6E6E-4706-8D08-4D2BE7B999DF}" name="Region_clean" dataDxfId="19" totalsRowDxfId="8">
      <calculatedColumnFormula>IFERROR(_xlfn.XLOOKUP(Table1[[#This Row],[region]],Mappings!$C$3:$C$8,Mappings!$D$3:$D$8,,0,1),"Unknown")</calculatedColumnFormula>
    </tableColumn>
    <tableColumn id="6" xr3:uid="{9E574480-E7C9-4937-A301-3E6110531A69}" name="sales_channel"/>
    <tableColumn id="17" xr3:uid="{75712719-3430-4D02-B030-5F552837BA2F}" name="Sales_channel_clean" dataDxfId="18">
      <calculatedColumnFormula>IFERROR(_xlfn.XLOOKUP(Table1[[#This Row],[sales_channel]],Table4[Original],Table4[Clean],,0,1),"Unknown")</calculatedColumnFormula>
    </tableColumn>
    <tableColumn id="7" xr3:uid="{BF0850CF-4C42-4F8A-9419-103DFF59B59E}" name="product"/>
    <tableColumn id="16" xr3:uid="{612EF44B-E7B3-4844-A419-622E3FCD2BBF}" name="Product_clean" dataDxfId="17">
      <calculatedColumnFormula>IFERROR(_xlfn.XLOOKUP(Table1[[#This Row],[product]],Table3[Original],Table3[Product_clean],,0,1),"Unknown")</calculatedColumnFormula>
    </tableColumn>
    <tableColumn id="8" xr3:uid="{162A50CF-8FF4-454A-949E-9A945EE5874C}" name="quantity" dataDxfId="16"/>
    <tableColumn id="18" xr3:uid="{F005FE1E-7D5D-4413-B714-B66265C7C2CF}" name="Quantity_clean" dataDxfId="15">
      <calculatedColumnFormula>IF(ISNUMBER(Table1[[#This Row],[quantity]]),Table1[[#This Row],[quantity]],IFERROR(VLOOKUP(Table1[[#This Row],[quantity]],Table5[#All],2,FALSE),"Unknown"))</calculatedColumnFormula>
    </tableColumn>
    <tableColumn id="9" xr3:uid="{F3ADC6ED-5B20-490B-B172-62E5267EBAF9}" name="revenue"/>
    <tableColumn id="20" xr3:uid="{5A993F10-958C-4DD7-BEC8-5F2ACD6C276C}" name="Revenue_clean" dataDxfId="12">
      <calculatedColumnFormula>IFERROR(VALUE(SUBSTITUTE(SUBSTITUTE(SUBSTITUTE(Table1[[#This Row],[revenue]],"EUR",""),"$",""),".",",")),"")</calculatedColumnFormula>
    </tableColumn>
    <tableColumn id="10" xr3:uid="{C558B9D8-9FD1-405C-8DC2-5160F217ED2D}" name="currency"/>
    <tableColumn id="21" xr3:uid="{973AE83E-89CE-4DF2-8291-CEE233AF1791}" name="currency_clean" dataDxfId="13">
      <calculatedColumnFormula>IF(OR(Table1[[#This Row],[currency]]="EUR",Table1[[#This Row],[currency]]="€"),"EUR",IF(OR(Table1[[#This Row],[currency]]="USD",Table1[[#This Row],[currency]]="$"),"USD","Unknown"))</calculatedColumnFormula>
    </tableColumn>
    <tableColumn id="11" xr3:uid="{AFD4FB6E-75AB-46CB-96EF-87E8A5816FEE}" name="order_status"/>
    <tableColumn id="24" xr3:uid="{976F7A6E-16E0-4678-A4BD-FE7B9C6894F5}" name="order_stauts_clean" dataDxfId="10">
      <calculatedColumnFormula>IFERROR(_xlfn.XLOOKUP(Table1[[#This Row],[order_status]],Table8[Original],Table8[Clean],,0,1),"Unknown")</calculatedColumnFormula>
    </tableColumn>
    <tableColumn id="12" xr3:uid="{BC0C430A-5584-438F-A6C6-86E960DD6D72}" name="delivery_days"/>
    <tableColumn id="19" xr3:uid="{AB402E08-BAE1-4275-B355-98A2011FF728}" name="delivery_days_clean" dataDxfId="14">
      <calculatedColumnFormula>IF(ISNUMBER(Table1[[#This Row],[delivery_days]]),Table1[[#This Row],[delivery_days]],IFERROR(_xlfn.XLOOKUP(Table1[[#This Row],[delivery_days]],Table57[Original],Table57[Clean],,0,1),"Unknown"))</calculatedColumnFormula>
    </tableColumn>
    <tableColumn id="13" xr3:uid="{301EAB3F-35AB-4018-BCC7-CC4C1FA61489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B052B-9CEE-4F16-BED1-7E2035A142DE}" name="Table2" displayName="Table2" ref="C2:D8" totalsRowShown="0">
  <autoFilter ref="C2:D8" xr:uid="{904B052B-9CEE-4F16-BED1-7E2035A142DE}"/>
  <tableColumns count="2">
    <tableColumn id="1" xr3:uid="{FDB20626-444B-446D-BA5E-7C5759CA808B}" name="Original"/>
    <tableColumn id="2" xr3:uid="{B4CA4469-D692-4753-AD8C-535BBEE8B539}" name="Clea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5BA5DE-DCBD-4FDC-A346-74C391FB9F15}" name="Table3" displayName="Table3" ref="H2:I8" totalsRowShown="0">
  <autoFilter ref="H2:I8" xr:uid="{0D5BA5DE-DCBD-4FDC-A346-74C391FB9F15}"/>
  <tableColumns count="2">
    <tableColumn id="1" xr3:uid="{B499015A-C276-43B5-8639-8A39C5B65045}" name="Original"/>
    <tableColumn id="2" xr3:uid="{F89B96B4-2639-4B74-8B48-515ED6D1A597}" name="Product_cle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D7FB96-E2AA-4730-9941-B5C0FA156845}" name="Table4" displayName="Table4" ref="M2:N7" totalsRowShown="0">
  <autoFilter ref="M2:N7" xr:uid="{5DD7FB96-E2AA-4730-9941-B5C0FA156845}"/>
  <tableColumns count="2">
    <tableColumn id="1" xr3:uid="{3CD472AC-797C-4991-ADD7-B5CC403DF798}" name="Original"/>
    <tableColumn id="2" xr3:uid="{088415C2-1F87-401A-9F93-9DA4C8D4AF03}" name="Clea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F21157-586D-4130-9AC6-2815D7FDC369}" name="Table5" displayName="Table5" ref="Q2:R3" totalsRowShown="0">
  <autoFilter ref="Q2:R3" xr:uid="{1EF21157-586D-4130-9AC6-2815D7FDC369}"/>
  <tableColumns count="2">
    <tableColumn id="1" xr3:uid="{ED7EDA2B-0AA0-499C-AF16-02A607E916B3}" name="Original"/>
    <tableColumn id="2" xr3:uid="{DEBB908E-D633-4430-92A0-E33F26EAC038}" name="Clea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60EFA8-9EA7-4C83-8B9B-2E8480567953}" name="Table57" displayName="Table57" ref="Q6:R7" totalsRowShown="0">
  <autoFilter ref="Q6:R7" xr:uid="{8B60EFA8-9EA7-4C83-8B9B-2E8480567953}"/>
  <tableColumns count="2">
    <tableColumn id="1" xr3:uid="{0CEBC9AB-37A1-472E-9262-D6FB87212103}" name="Original"/>
    <tableColumn id="2" xr3:uid="{EA77856D-C1D8-4935-A368-DBBB81A1DB20}" name="Clea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6F7169-0A36-4346-A3AD-754742ADC04E}" name="Table8" displayName="Table8" ref="C12:D17" totalsRowShown="0">
  <autoFilter ref="C12:D17" xr:uid="{866F7169-0A36-4346-A3AD-754742ADC04E}"/>
  <tableColumns count="2">
    <tableColumn id="1" xr3:uid="{12CFACF2-F9A2-47EC-8ABF-8713440A4859}" name="Original"/>
    <tableColumn id="2" xr3:uid="{9DD8B76C-0C19-4676-B4BA-1DC037196748}" name="Cl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BE9D-8709-4C56-8BC1-7D3430EC74C7}">
  <dimension ref="A3:K17"/>
  <sheetViews>
    <sheetView workbookViewId="0">
      <selection activeCell="G12" sqref="G12"/>
    </sheetView>
  </sheetViews>
  <sheetFormatPr defaultRowHeight="14.4" x14ac:dyDescent="0.3"/>
  <cols>
    <col min="1" max="1" width="12.5546875" bestFit="1" customWidth="1"/>
    <col min="2" max="2" width="20.44140625" bestFit="1" customWidth="1"/>
    <col min="6" max="6" width="12.5546875" bestFit="1" customWidth="1"/>
    <col min="7" max="7" width="20.44140625" bestFit="1" customWidth="1"/>
    <col min="8" max="8" width="19.6640625" customWidth="1"/>
    <col min="11" max="11" width="28" bestFit="1" customWidth="1"/>
  </cols>
  <sheetData>
    <row r="3" spans="1:11" x14ac:dyDescent="0.3">
      <c r="A3" s="8" t="s">
        <v>1419</v>
      </c>
      <c r="B3" t="s">
        <v>1433</v>
      </c>
      <c r="F3" s="8" t="s">
        <v>1419</v>
      </c>
      <c r="G3" t="s">
        <v>1433</v>
      </c>
      <c r="K3" t="s">
        <v>1435</v>
      </c>
    </row>
    <row r="4" spans="1:11" x14ac:dyDescent="0.3">
      <c r="A4" s="9" t="s">
        <v>26</v>
      </c>
      <c r="B4" s="5">
        <v>89357.500000000015</v>
      </c>
      <c r="F4" s="9" t="s">
        <v>1415</v>
      </c>
      <c r="G4" s="5">
        <v>147975.06999999998</v>
      </c>
      <c r="K4" s="6">
        <v>3.2220039292730847</v>
      </c>
    </row>
    <row r="5" spans="1:11" x14ac:dyDescent="0.3">
      <c r="A5" s="9" t="s">
        <v>1415</v>
      </c>
      <c r="B5" s="5">
        <v>195727.38999999998</v>
      </c>
      <c r="F5" s="9" t="s">
        <v>50</v>
      </c>
      <c r="G5" s="5">
        <v>214306.97999999989</v>
      </c>
    </row>
    <row r="6" spans="1:11" x14ac:dyDescent="0.3">
      <c r="A6" s="9" t="s">
        <v>1416</v>
      </c>
      <c r="B6" s="5">
        <v>205070.83999999991</v>
      </c>
      <c r="F6" s="9" t="s">
        <v>14</v>
      </c>
      <c r="G6" s="5">
        <v>348509.29</v>
      </c>
    </row>
    <row r="7" spans="1:11" x14ac:dyDescent="0.3">
      <c r="A7" s="9" t="s">
        <v>1417</v>
      </c>
      <c r="B7" s="5">
        <v>220635.60999999993</v>
      </c>
      <c r="F7" s="9" t="s">
        <v>1420</v>
      </c>
      <c r="G7" s="5">
        <v>710791.33999999985</v>
      </c>
    </row>
    <row r="8" spans="1:11" x14ac:dyDescent="0.3">
      <c r="A8" s="9" t="s">
        <v>1420</v>
      </c>
      <c r="B8" s="5">
        <v>710791.33999999985</v>
      </c>
    </row>
    <row r="12" spans="1:11" x14ac:dyDescent="0.3">
      <c r="A12" s="8" t="s">
        <v>1419</v>
      </c>
      <c r="B12" t="s">
        <v>1434</v>
      </c>
      <c r="F12" s="8" t="s">
        <v>1419</v>
      </c>
      <c r="G12" t="s">
        <v>1434</v>
      </c>
    </row>
    <row r="13" spans="1:11" x14ac:dyDescent="0.3">
      <c r="A13" s="9" t="s">
        <v>51</v>
      </c>
      <c r="B13" s="10">
        <v>158</v>
      </c>
      <c r="F13" s="9" t="s">
        <v>1431</v>
      </c>
      <c r="G13" s="10">
        <v>103</v>
      </c>
      <c r="I13">
        <f>GETPIVOTDATA("order_id_clean",$F$12,"order_stauts_clean","Delivered")</f>
        <v>218</v>
      </c>
    </row>
    <row r="14" spans="1:11" x14ac:dyDescent="0.3">
      <c r="A14" s="9" t="s">
        <v>102</v>
      </c>
      <c r="B14" s="10">
        <v>191</v>
      </c>
      <c r="F14" s="9" t="s">
        <v>1415</v>
      </c>
      <c r="G14" s="10">
        <v>109</v>
      </c>
    </row>
    <row r="15" spans="1:11" x14ac:dyDescent="0.3">
      <c r="A15" s="9" t="s">
        <v>33</v>
      </c>
      <c r="B15" s="10">
        <v>193</v>
      </c>
      <c r="F15" s="9" t="s">
        <v>1432</v>
      </c>
      <c r="G15" s="10">
        <v>190</v>
      </c>
      <c r="I15">
        <f>(GETPIVOTDATA("order_id_clean",$F$12,"order_stauts_clean","Returned"))</f>
        <v>190</v>
      </c>
    </row>
    <row r="16" spans="1:11" x14ac:dyDescent="0.3">
      <c r="A16" s="9" t="s">
        <v>1415</v>
      </c>
      <c r="B16" s="10">
        <v>78</v>
      </c>
      <c r="F16" s="9" t="s">
        <v>23</v>
      </c>
      <c r="G16" s="10">
        <v>218</v>
      </c>
    </row>
    <row r="17" spans="1:9" x14ac:dyDescent="0.3">
      <c r="A17" s="9" t="s">
        <v>1420</v>
      </c>
      <c r="B17" s="10">
        <v>620</v>
      </c>
      <c r="F17" s="9" t="s">
        <v>1420</v>
      </c>
      <c r="G17" s="10">
        <v>620</v>
      </c>
      <c r="I17" s="11">
        <f>I15/(I15+I13)</f>
        <v>0.46568627450980393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4"/>
  <sheetViews>
    <sheetView tabSelected="1"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4.77734375" bestFit="1" customWidth="1"/>
    <col min="4" max="4" width="20.33203125" style="1" bestFit="1" customWidth="1"/>
    <col min="5" max="5" width="19.21875" bestFit="1" customWidth="1"/>
    <col min="6" max="6" width="25" bestFit="1" customWidth="1"/>
    <col min="7" max="7" width="10.77734375" bestFit="1" customWidth="1"/>
    <col min="8" max="8" width="16.6640625" bestFit="1" customWidth="1"/>
    <col min="9" max="9" width="17.109375" bestFit="1" customWidth="1"/>
    <col min="10" max="10" width="23" bestFit="1" customWidth="1"/>
    <col min="11" max="11" width="12.109375" bestFit="1" customWidth="1"/>
    <col min="12" max="12" width="17.6640625" bestFit="1" customWidth="1"/>
    <col min="13" max="13" width="10" customWidth="1"/>
    <col min="14" max="14" width="22.77734375" customWidth="1"/>
    <col min="15" max="15" width="18" customWidth="1"/>
    <col min="16" max="16" width="22.5546875" customWidth="1"/>
    <col min="17" max="17" width="13.44140625" customWidth="1"/>
    <col min="18" max="18" width="22.77734375" customWidth="1"/>
    <col min="19" max="19" width="14.44140625" customWidth="1"/>
    <col min="20" max="20" width="23.6640625" customWidth="1"/>
    <col min="21" max="21" width="22.88671875" customWidth="1"/>
    <col min="23" max="23" width="10.88671875" customWidth="1"/>
  </cols>
  <sheetData>
    <row r="1" spans="1:23" x14ac:dyDescent="0.3">
      <c r="A1" s="2" t="s">
        <v>0</v>
      </c>
      <c r="B1" s="7" t="s">
        <v>1428</v>
      </c>
      <c r="C1" s="2" t="s">
        <v>1</v>
      </c>
      <c r="D1" s="3" t="s">
        <v>1413</v>
      </c>
      <c r="E1" s="2" t="s">
        <v>2</v>
      </c>
      <c r="F1" s="7" t="s">
        <v>1429</v>
      </c>
      <c r="G1" s="2" t="s">
        <v>3</v>
      </c>
      <c r="H1" s="7" t="s">
        <v>1418</v>
      </c>
      <c r="I1" s="2" t="s">
        <v>4</v>
      </c>
      <c r="J1" s="7" t="s">
        <v>1423</v>
      </c>
      <c r="K1" s="2" t="s">
        <v>5</v>
      </c>
      <c r="L1" s="7" t="s">
        <v>1421</v>
      </c>
      <c r="M1" s="2" t="s">
        <v>6</v>
      </c>
      <c r="N1" s="7" t="s">
        <v>1424</v>
      </c>
      <c r="O1" s="2" t="s">
        <v>7</v>
      </c>
      <c r="P1" s="7" t="s">
        <v>1426</v>
      </c>
      <c r="Q1" s="2" t="s">
        <v>8</v>
      </c>
      <c r="R1" s="7" t="s">
        <v>1427</v>
      </c>
      <c r="S1" s="2" t="s">
        <v>9</v>
      </c>
      <c r="T1" s="7" t="s">
        <v>1430</v>
      </c>
      <c r="U1" s="2" t="s">
        <v>10</v>
      </c>
      <c r="V1" s="7" t="s">
        <v>1425</v>
      </c>
      <c r="W1" s="2" t="s">
        <v>11</v>
      </c>
    </row>
    <row r="2" spans="1:23" x14ac:dyDescent="0.3">
      <c r="A2">
        <v>1000</v>
      </c>
      <c r="B2" t="str">
        <f>IF(ISBLANK(Table1[[#This Row],[order_id]]),"",IF(LEFT(Table1[[#This Row],[order_id]],3)="ORD",Table1[[#This Row],[order_id]],"ORD-" &amp; Table1[[#This Row],[order_id]]))</f>
        <v>ORD-1000</v>
      </c>
      <c r="C2" t="s">
        <v>12</v>
      </c>
      <c r="D2" s="1">
        <f>IFERROR(DATEVALUE(Table1[[#This Row],[order_date]]),"")</f>
        <v>45619</v>
      </c>
      <c r="E2" t="s">
        <v>13</v>
      </c>
      <c r="F2" t="str">
        <f>IF(ISBLANK(Table1[[#This Row],[customer_name]]),"Unknown Customer",PROPER(SUBSTITUTE(Table1[[#This Row],[customer_name]],"Cust.","Customer")))</f>
        <v>Customer 0</v>
      </c>
      <c r="H2" t="str">
        <f>IFERROR(_xlfn.XLOOKUP(Table1[[#This Row],[region]],Mappings!$C$3:$C$8,Mappings!$D$3:$D$8,,0,1),"Unknown")</f>
        <v>Unknown</v>
      </c>
      <c r="I2" t="s">
        <v>14</v>
      </c>
      <c r="J2" t="str">
        <f>IFERROR(_xlfn.XLOOKUP(Table1[[#This Row],[sales_channel]],Table4[Original],Table4[Clean],,0,1),"Unknown")</f>
        <v>Online</v>
      </c>
      <c r="K2" t="s">
        <v>15</v>
      </c>
      <c r="L2" t="str">
        <f>IFERROR(_xlfn.XLOOKUP(Table1[[#This Row],[product]],Table3[Original],Table3[Product_clean],,0,1),"Unknown")</f>
        <v>Tablet</v>
      </c>
      <c r="M2" s="6"/>
      <c r="N2" t="str">
        <f>IF(ISNUMBER(Table1[[#This Row],[quantity]]),Table1[[#This Row],[quantity]],IFERROR(VLOOKUP(Table1[[#This Row],[quantity]],Table5[#All],2,FALSE),"Unknown"))</f>
        <v>Unknown</v>
      </c>
      <c r="O2" t="s">
        <v>16</v>
      </c>
      <c r="P2">
        <f>IFERROR(VALUE(SUBSTITUTE(SUBSTITUTE(SUBSTITUTE(Table1[[#This Row],[revenue]],"EUR",""),"$",""),".",",")),"")</f>
        <v>378.43</v>
      </c>
      <c r="Q2" t="s">
        <v>17</v>
      </c>
      <c r="R2" t="str">
        <f>IF(OR(Table1[[#This Row],[currency]]="EUR",Table1[[#This Row],[currency]]="€"),"EUR",IF(OR(Table1[[#This Row],[currency]]="USD",Table1[[#This Row],[currency]]="$"),"USD","Unknown"))</f>
        <v>EUR</v>
      </c>
      <c r="S2" t="s">
        <v>18</v>
      </c>
      <c r="T2" t="str">
        <f>IFERROR(_xlfn.XLOOKUP(Table1[[#This Row],[order_status]],Table8[Original],Table8[Clean],,0,1),"Unknown")</f>
        <v>Pending</v>
      </c>
      <c r="U2">
        <v>5</v>
      </c>
      <c r="V2">
        <f>IF(ISNUMBER(Table1[[#This Row],[delivery_days]]),Table1[[#This Row],[delivery_days]],IFERROR(_xlfn.XLOOKUP(Table1[[#This Row],[delivery_days]],Table57[Original],Table57[Clean],,0,1),"Unknown"))</f>
        <v>5</v>
      </c>
    </row>
    <row r="3" spans="1:23" x14ac:dyDescent="0.3">
      <c r="B3" t="str">
        <f>IF(ISBLANK(Table1[[#This Row],[order_id]]),"",IF(LEFT(Table1[[#This Row],[order_id]],3)="ORD",Table1[[#This Row],[order_id]],"ORD-" &amp; Table1[[#This Row],[order_id]]))</f>
        <v/>
      </c>
      <c r="C3" t="s">
        <v>19</v>
      </c>
      <c r="D3" s="1">
        <f>IFERROR(DATEVALUE(Table1[[#This Row],[order_date]]),"")</f>
        <v>45307</v>
      </c>
      <c r="E3" t="s">
        <v>20</v>
      </c>
      <c r="F3" t="str">
        <f>IF(ISBLANK(Table1[[#This Row],[customer_name]]),"Unknown Customer",PROPER(SUBSTITUTE(Table1[[#This Row],[customer_name]],"Cust.","Customer")))</f>
        <v>Customer 1</v>
      </c>
      <c r="H3" t="str">
        <f>IFERROR(_xlfn.XLOOKUP(Table1[[#This Row],[region]],Mappings!$C$3:$C$8,Mappings!$D$3:$D$8,,0,1),"Unknown")</f>
        <v>Unknown</v>
      </c>
      <c r="J3" t="str">
        <f>IFERROR(_xlfn.XLOOKUP(Table1[[#This Row],[sales_channel]],Table4[Original],Table4[Clean],,0,1),"Unknown")</f>
        <v>Unknown</v>
      </c>
      <c r="K3" t="s">
        <v>15</v>
      </c>
      <c r="L3" t="str">
        <f>IFERROR(_xlfn.XLOOKUP(Table1[[#This Row],[product]],Table3[Original],Table3[Product_clean],,0,1),"Unknown")</f>
        <v>Tablet</v>
      </c>
      <c r="M3" s="6"/>
      <c r="N3" t="str">
        <f>IF(ISNUMBER(Table1[[#This Row],[quantity]]),Table1[[#This Row],[quantity]],IFERROR(VLOOKUP(Table1[[#This Row],[quantity]],Table5[#All],2,FALSE),"Unknown"))</f>
        <v>Unknown</v>
      </c>
      <c r="O3" t="s">
        <v>21</v>
      </c>
      <c r="P3">
        <f>IFERROR(VALUE(SUBSTITUTE(SUBSTITUTE(SUBSTITUTE(Table1[[#This Row],[revenue]],"EUR",""),"$",""),".",",")),"")</f>
        <v>326.39999999999998</v>
      </c>
      <c r="Q3" t="s">
        <v>22</v>
      </c>
      <c r="R3" t="str">
        <f>IF(OR(Table1[[#This Row],[currency]]="EUR",Table1[[#This Row],[currency]]="€"),"EUR",IF(OR(Table1[[#This Row],[currency]]="USD",Table1[[#This Row],[currency]]="$"),"USD","Unknown"))</f>
        <v>USD</v>
      </c>
      <c r="S3" t="s">
        <v>23</v>
      </c>
      <c r="T3" t="str">
        <f>IFERROR(_xlfn.XLOOKUP(Table1[[#This Row],[order_status]],Table8[Original],Table8[Clean],,0,1),"Unknown")</f>
        <v>Delivered</v>
      </c>
      <c r="U3">
        <v>5</v>
      </c>
      <c r="V3">
        <f>IF(ISNUMBER(Table1[[#This Row],[delivery_days]]),Table1[[#This Row],[delivery_days]],IFERROR(_xlfn.XLOOKUP(Table1[[#This Row],[delivery_days]],Table57[Original],Table57[Clean],,0,1),"Unknown"))</f>
        <v>5</v>
      </c>
      <c r="W3" t="s">
        <v>24</v>
      </c>
    </row>
    <row r="4" spans="1:23" x14ac:dyDescent="0.3">
      <c r="B4" t="str">
        <f>IF(ISBLANK(Table1[[#This Row],[order_id]]),"",IF(LEFT(Table1[[#This Row],[order_id]],3)="ORD",Table1[[#This Row],[order_id]],"ORD-" &amp; Table1[[#This Row],[order_id]]))</f>
        <v/>
      </c>
      <c r="D4" s="1" t="str">
        <f>IFERROR(DATEVALUE(Table1[[#This Row],[order_date]]),"")</f>
        <v/>
      </c>
      <c r="E4" t="s">
        <v>25</v>
      </c>
      <c r="F4" t="str">
        <f>IF(ISBLANK(Table1[[#This Row],[customer_name]]),"Unknown Customer",PROPER(SUBSTITUTE(Table1[[#This Row],[customer_name]],"Cust.","Customer")))</f>
        <v>Customer 2</v>
      </c>
      <c r="G4" t="s">
        <v>26</v>
      </c>
      <c r="H4" t="str">
        <f>IFERROR(_xlfn.XLOOKUP(Table1[[#This Row],[region]],Mappings!$C$3:$C$8,Mappings!$D$3:$D$8,,0,1),"Unknown")</f>
        <v>Asia</v>
      </c>
      <c r="I4" t="s">
        <v>27</v>
      </c>
      <c r="J4" t="str">
        <f>IFERROR(_xlfn.XLOOKUP(Table1[[#This Row],[sales_channel]],Table4[Original],Table4[Clean],,0,1),"Unknown")</f>
        <v>Online</v>
      </c>
      <c r="K4" t="s">
        <v>28</v>
      </c>
      <c r="L4" t="str">
        <f>IFERROR(_xlfn.XLOOKUP(Table1[[#This Row],[product]],Table3[Original],Table3[Product_clean],,0,1),"Unknown")</f>
        <v>Laptop</v>
      </c>
      <c r="M4" s="6">
        <v>3</v>
      </c>
      <c r="N4">
        <f>IF(ISNUMBER(Table1[[#This Row],[quantity]]),Table1[[#This Row],[quantity]],IFERROR(VLOOKUP(Table1[[#This Row],[quantity]],Table5[#All],2,FALSE),"Unknown"))</f>
        <v>3</v>
      </c>
      <c r="O4" t="s">
        <v>29</v>
      </c>
      <c r="P4">
        <f>IFERROR(VALUE(SUBSTITUTE(SUBSTITUTE(SUBSTITUTE(Table1[[#This Row],[revenue]],"EUR",""),"$",""),".",",")),"")</f>
        <v>2614.44</v>
      </c>
      <c r="Q4" t="s">
        <v>17</v>
      </c>
      <c r="R4" t="str">
        <f>IF(OR(Table1[[#This Row],[currency]]="EUR",Table1[[#This Row],[currency]]="€"),"EUR",IF(OR(Table1[[#This Row],[currency]]="USD",Table1[[#This Row],[currency]]="$"),"USD","Unknown"))</f>
        <v>EUR</v>
      </c>
      <c r="S4" t="s">
        <v>30</v>
      </c>
      <c r="T4" t="str">
        <f>IFERROR(_xlfn.XLOOKUP(Table1[[#This Row],[order_status]],Table8[Original],Table8[Clean],,0,1),"Unknown")</f>
        <v>Delivered</v>
      </c>
      <c r="U4">
        <v>5</v>
      </c>
      <c r="V4">
        <f>IF(ISNUMBER(Table1[[#This Row],[delivery_days]]),Table1[[#This Row],[delivery_days]],IFERROR(_xlfn.XLOOKUP(Table1[[#This Row],[delivery_days]],Table57[Original],Table57[Clean],,0,1),"Unknown"))</f>
        <v>5</v>
      </c>
    </row>
    <row r="5" spans="1:23" x14ac:dyDescent="0.3">
      <c r="A5">
        <v>1003</v>
      </c>
      <c r="B5" t="str">
        <f>IF(ISBLANK(Table1[[#This Row],[order_id]]),"",IF(LEFT(Table1[[#This Row],[order_id]],3)="ORD",Table1[[#This Row],[order_id]],"ORD-" &amp; Table1[[#This Row],[order_id]]))</f>
        <v>ORD-1003</v>
      </c>
      <c r="D5" s="1" t="str">
        <f>IFERROR(DATEVALUE(Table1[[#This Row],[order_date]]),"")</f>
        <v/>
      </c>
      <c r="E5" t="s">
        <v>31</v>
      </c>
      <c r="F5" t="str">
        <f>IF(ISBLANK(Table1[[#This Row],[customer_name]]),"Unknown Customer",PROPER(SUBSTITUTE(Table1[[#This Row],[customer_name]],"Cust.","Customer")))</f>
        <v>Customer 3</v>
      </c>
      <c r="G5" t="s">
        <v>32</v>
      </c>
      <c r="H5" t="str">
        <f>IFERROR(_xlfn.XLOOKUP(Table1[[#This Row],[region]],Mappings!$C$3:$C$8,Mappings!$D$3:$D$8,,0,1),"Unknown")</f>
        <v>Europe</v>
      </c>
      <c r="I5" t="s">
        <v>14</v>
      </c>
      <c r="J5" t="str">
        <f>IFERROR(_xlfn.XLOOKUP(Table1[[#This Row],[sales_channel]],Table4[Original],Table4[Clean],,0,1),"Unknown")</f>
        <v>Online</v>
      </c>
      <c r="K5" t="s">
        <v>33</v>
      </c>
      <c r="L5" t="str">
        <f>IFERROR(_xlfn.XLOOKUP(Table1[[#This Row],[product]],Table3[Original],Table3[Product_clean],,0,1),"Unknown")</f>
        <v>Tablet</v>
      </c>
      <c r="M5" s="6">
        <v>3</v>
      </c>
      <c r="N5">
        <f>IF(ISNUMBER(Table1[[#This Row],[quantity]]),Table1[[#This Row],[quantity]],IFERROR(VLOOKUP(Table1[[#This Row],[quantity]],Table5[#All],2,FALSE),"Unknown"))</f>
        <v>3</v>
      </c>
      <c r="O5" t="s">
        <v>34</v>
      </c>
      <c r="P5">
        <f>IFERROR(VALUE(SUBSTITUTE(SUBSTITUTE(SUBSTITUTE(Table1[[#This Row],[revenue]],"EUR",""),"$",""),".",",")),"")</f>
        <v>2550.11</v>
      </c>
      <c r="R5" t="str">
        <f>IF(OR(Table1[[#This Row],[currency]]="EUR",Table1[[#This Row],[currency]]="€"),"EUR",IF(OR(Table1[[#This Row],[currency]]="USD",Table1[[#This Row],[currency]]="$"),"USD","Unknown"))</f>
        <v>Unknown</v>
      </c>
      <c r="S5" t="s">
        <v>35</v>
      </c>
      <c r="T5" t="str">
        <f>IFERROR(_xlfn.XLOOKUP(Table1[[#This Row],[order_status]],Table8[Original],Table8[Clean],,0,1),"Unknown")</f>
        <v>Returned</v>
      </c>
      <c r="U5" t="s">
        <v>36</v>
      </c>
      <c r="V5">
        <f>IF(ISNUMBER(Table1[[#This Row],[delivery_days]]),Table1[[#This Row],[delivery_days]],IFERROR(_xlfn.XLOOKUP(Table1[[#This Row],[delivery_days]],Table57[Original],Table57[Clean],,0,1),"Unknown"))</f>
        <v>5</v>
      </c>
      <c r="W5" t="s">
        <v>37</v>
      </c>
    </row>
    <row r="6" spans="1:23" x14ac:dyDescent="0.3">
      <c r="A6" t="s">
        <v>38</v>
      </c>
      <c r="B6" t="str">
        <f>IF(ISBLANK(Table1[[#This Row],[order_id]]),"",IF(LEFT(Table1[[#This Row],[order_id]],3)="ORD",Table1[[#This Row],[order_id]],"ORD-" &amp; Table1[[#This Row],[order_id]]))</f>
        <v>ORD-1004</v>
      </c>
      <c r="C6" t="s">
        <v>39</v>
      </c>
      <c r="D6" s="1">
        <f>IFERROR(DATEVALUE(Table1[[#This Row],[order_date]]),"")</f>
        <v>45652</v>
      </c>
      <c r="E6" t="s">
        <v>40</v>
      </c>
      <c r="F6" t="str">
        <f>IF(ISBLANK(Table1[[#This Row],[customer_name]]),"Unknown Customer",PROPER(SUBSTITUTE(Table1[[#This Row],[customer_name]],"Cust.","Customer")))</f>
        <v>Customer 4</v>
      </c>
      <c r="H6" t="str">
        <f>IFERROR(_xlfn.XLOOKUP(Table1[[#This Row],[region]],Mappings!$C$3:$C$8,Mappings!$D$3:$D$8,,0,1),"Unknown")</f>
        <v>Unknown</v>
      </c>
      <c r="I6" t="s">
        <v>14</v>
      </c>
      <c r="J6" t="str">
        <f>IFERROR(_xlfn.XLOOKUP(Table1[[#This Row],[sales_channel]],Table4[Original],Table4[Clean],,0,1),"Unknown")</f>
        <v>Online</v>
      </c>
      <c r="K6" t="s">
        <v>41</v>
      </c>
      <c r="L6" t="str">
        <f>IFERROR(_xlfn.XLOOKUP(Table1[[#This Row],[product]],Table3[Original],Table3[Product_clean],,0,1),"Unknown")</f>
        <v>Phone</v>
      </c>
      <c r="M6" s="6">
        <v>3</v>
      </c>
      <c r="N6">
        <f>IF(ISNUMBER(Table1[[#This Row],[quantity]]),Table1[[#This Row],[quantity]],IFERROR(VLOOKUP(Table1[[#This Row],[quantity]],Table5[#All],2,FALSE),"Unknown"))</f>
        <v>3</v>
      </c>
      <c r="O6" t="s">
        <v>42</v>
      </c>
      <c r="P6">
        <f>IFERROR(VALUE(SUBSTITUTE(SUBSTITUTE(SUBSTITUTE(Table1[[#This Row],[revenue]],"EUR",""),"$",""),".",",")),"")</f>
        <v>255.19</v>
      </c>
      <c r="Q6" t="s">
        <v>22</v>
      </c>
      <c r="R6" t="str">
        <f>IF(OR(Table1[[#This Row],[currency]]="EUR",Table1[[#This Row],[currency]]="€"),"EUR",IF(OR(Table1[[#This Row],[currency]]="USD",Table1[[#This Row],[currency]]="$"),"USD","Unknown"))</f>
        <v>USD</v>
      </c>
      <c r="T6" t="str">
        <f>IFERROR(_xlfn.XLOOKUP(Table1[[#This Row],[order_status]],Table8[Original],Table8[Clean],,0,1),"Unknown")</f>
        <v>Unknown</v>
      </c>
      <c r="U6">
        <v>3</v>
      </c>
      <c r="V6">
        <f>IF(ISNUMBER(Table1[[#This Row],[delivery_days]]),Table1[[#This Row],[delivery_days]],IFERROR(_xlfn.XLOOKUP(Table1[[#This Row],[delivery_days]],Table57[Original],Table57[Clean],,0,1),"Unknown"))</f>
        <v>3</v>
      </c>
      <c r="W6" t="s">
        <v>37</v>
      </c>
    </row>
    <row r="7" spans="1:23" x14ac:dyDescent="0.3">
      <c r="B7" t="str">
        <f>IF(ISBLANK(Table1[[#This Row],[order_id]]),"",IF(LEFT(Table1[[#This Row],[order_id]],3)="ORD",Table1[[#This Row],[order_id]],"ORD-" &amp; Table1[[#This Row],[order_id]]))</f>
        <v/>
      </c>
      <c r="C7" t="s">
        <v>43</v>
      </c>
      <c r="D7" s="1">
        <f>IFERROR(DATEVALUE(Table1[[#This Row],[order_date]]),"")</f>
        <v>45481</v>
      </c>
      <c r="E7" t="s">
        <v>44</v>
      </c>
      <c r="F7" t="str">
        <f>IF(ISBLANK(Table1[[#This Row],[customer_name]]),"Unknown Customer",PROPER(SUBSTITUTE(Table1[[#This Row],[customer_name]],"Cust.","Customer")))</f>
        <v>Customer 5</v>
      </c>
      <c r="G7" t="s">
        <v>45</v>
      </c>
      <c r="H7" t="str">
        <f>IFERROR(_xlfn.XLOOKUP(Table1[[#This Row],[region]],Mappings!$C$3:$C$8,Mappings!$D$3:$D$8,,0,1),"Unknown")</f>
        <v>USA</v>
      </c>
      <c r="J7" t="str">
        <f>IFERROR(_xlfn.XLOOKUP(Table1[[#This Row],[sales_channel]],Table4[Original],Table4[Clean],,0,1),"Unknown")</f>
        <v>Unknown</v>
      </c>
      <c r="K7" t="s">
        <v>28</v>
      </c>
      <c r="L7" t="str">
        <f>IFERROR(_xlfn.XLOOKUP(Table1[[#This Row],[product]],Table3[Original],Table3[Product_clean],,0,1),"Unknown")</f>
        <v>Laptop</v>
      </c>
      <c r="M7" s="6">
        <v>2</v>
      </c>
      <c r="N7">
        <f>IF(ISNUMBER(Table1[[#This Row],[quantity]]),Table1[[#This Row],[quantity]],IFERROR(VLOOKUP(Table1[[#This Row],[quantity]],Table5[#All],2,FALSE),"Unknown"))</f>
        <v>2</v>
      </c>
      <c r="O7" t="s">
        <v>46</v>
      </c>
      <c r="P7">
        <f>IFERROR(VALUE(SUBSTITUTE(SUBSTITUTE(SUBSTITUTE(Table1[[#This Row],[revenue]],"EUR",""),"$",""),".",",")),"")</f>
        <v>1098.05</v>
      </c>
      <c r="Q7" t="s">
        <v>22</v>
      </c>
      <c r="R7" t="str">
        <f>IF(OR(Table1[[#This Row],[currency]]="EUR",Table1[[#This Row],[currency]]="€"),"EUR",IF(OR(Table1[[#This Row],[currency]]="USD",Table1[[#This Row],[currency]]="$"),"USD","Unknown"))</f>
        <v>USD</v>
      </c>
      <c r="S7" t="s">
        <v>47</v>
      </c>
      <c r="T7" t="str">
        <f>IFERROR(_xlfn.XLOOKUP(Table1[[#This Row],[order_status]],Table8[Original],Table8[Clean],,0,1),"Unknown")</f>
        <v>Returned</v>
      </c>
      <c r="U7">
        <v>3</v>
      </c>
      <c r="V7">
        <f>IF(ISNUMBER(Table1[[#This Row],[delivery_days]]),Table1[[#This Row],[delivery_days]],IFERROR(_xlfn.XLOOKUP(Table1[[#This Row],[delivery_days]],Table57[Original],Table57[Clean],,0,1),"Unknown"))</f>
        <v>3</v>
      </c>
      <c r="W7" t="s">
        <v>37</v>
      </c>
    </row>
    <row r="8" spans="1:23" x14ac:dyDescent="0.3">
      <c r="A8">
        <v>1006</v>
      </c>
      <c r="B8" t="str">
        <f>IF(ISBLANK(Table1[[#This Row],[order_id]]),"",IF(LEFT(Table1[[#This Row],[order_id]],3)="ORD",Table1[[#This Row],[order_id]],"ORD-" &amp; Table1[[#This Row],[order_id]]))</f>
        <v>ORD-1006</v>
      </c>
      <c r="C8" t="s">
        <v>48</v>
      </c>
      <c r="D8" s="1">
        <f>IFERROR(DATEVALUE(Table1[[#This Row],[order_date]]),"")</f>
        <v>45642</v>
      </c>
      <c r="E8" t="s">
        <v>49</v>
      </c>
      <c r="F8" t="str">
        <f>IF(ISBLANK(Table1[[#This Row],[customer_name]]),"Unknown Customer",PROPER(SUBSTITUTE(Table1[[#This Row],[customer_name]],"Cust.","Customer")))</f>
        <v>Customer 6</v>
      </c>
      <c r="G8" t="s">
        <v>32</v>
      </c>
      <c r="H8" t="str">
        <f>IFERROR(_xlfn.XLOOKUP(Table1[[#This Row],[region]],Mappings!$C$3:$C$8,Mappings!$D$3:$D$8,,0,1),"Unknown")</f>
        <v>Europe</v>
      </c>
      <c r="I8" t="s">
        <v>50</v>
      </c>
      <c r="J8" t="str">
        <f>IFERROR(_xlfn.XLOOKUP(Table1[[#This Row],[sales_channel]],Table4[Original],Table4[Clean],,0,1),"Unknown")</f>
        <v>Mobile</v>
      </c>
      <c r="K8" t="s">
        <v>51</v>
      </c>
      <c r="L8" t="str">
        <f>IFERROR(_xlfn.XLOOKUP(Table1[[#This Row],[product]],Table3[Original],Table3[Product_clean],,0,1),"Unknown")</f>
        <v>Laptop</v>
      </c>
      <c r="M8" s="6">
        <v>2</v>
      </c>
      <c r="N8">
        <f>IF(ISNUMBER(Table1[[#This Row],[quantity]]),Table1[[#This Row],[quantity]],IFERROR(VLOOKUP(Table1[[#This Row],[quantity]],Table5[#All],2,FALSE),"Unknown"))</f>
        <v>2</v>
      </c>
      <c r="O8">
        <v>1006.63</v>
      </c>
      <c r="P8">
        <f>IFERROR(VALUE(SUBSTITUTE(SUBSTITUTE(SUBSTITUTE(Table1[[#This Row],[revenue]],"EUR",""),"$",""),".",",")),"")</f>
        <v>1006.63</v>
      </c>
      <c r="R8" t="str">
        <f>IF(OR(Table1[[#This Row],[currency]]="EUR",Table1[[#This Row],[currency]]="€"),"EUR",IF(OR(Table1[[#This Row],[currency]]="USD",Table1[[#This Row],[currency]]="$"),"USD","Unknown"))</f>
        <v>Unknown</v>
      </c>
      <c r="T8" t="str">
        <f>IFERROR(_xlfn.XLOOKUP(Table1[[#This Row],[order_status]],Table8[Original],Table8[Clean],,0,1),"Unknown")</f>
        <v>Unknown</v>
      </c>
      <c r="U8">
        <v>3</v>
      </c>
      <c r="V8">
        <f>IF(ISNUMBER(Table1[[#This Row],[delivery_days]]),Table1[[#This Row],[delivery_days]],IFERROR(_xlfn.XLOOKUP(Table1[[#This Row],[delivery_days]],Table57[Original],Table57[Clean],,0,1),"Unknown"))</f>
        <v>3</v>
      </c>
      <c r="W8" t="s">
        <v>37</v>
      </c>
    </row>
    <row r="9" spans="1:23" x14ac:dyDescent="0.3">
      <c r="A9">
        <v>1007</v>
      </c>
      <c r="B9" t="str">
        <f>IF(ISBLANK(Table1[[#This Row],[order_id]]),"",IF(LEFT(Table1[[#This Row],[order_id]],3)="ORD",Table1[[#This Row],[order_id]],"ORD-" &amp; Table1[[#This Row],[order_id]]))</f>
        <v>ORD-1007</v>
      </c>
      <c r="C9" t="s">
        <v>52</v>
      </c>
      <c r="D9" s="1">
        <f>IFERROR(DATEVALUE(Table1[[#This Row],[order_date]]),"")</f>
        <v>45303</v>
      </c>
      <c r="E9" t="s">
        <v>53</v>
      </c>
      <c r="F9" t="str">
        <f>IF(ISBLANK(Table1[[#This Row],[customer_name]]),"Unknown Customer",PROPER(SUBSTITUTE(Table1[[#This Row],[customer_name]],"Cust.","Customer")))</f>
        <v>Customer 7</v>
      </c>
      <c r="G9" t="s">
        <v>54</v>
      </c>
      <c r="H9" t="str">
        <f>IFERROR(_xlfn.XLOOKUP(Table1[[#This Row],[region]],Mappings!$C$3:$C$8,Mappings!$D$3:$D$8,,0,1),"Unknown")</f>
        <v>USA</v>
      </c>
      <c r="J9" t="str">
        <f>IFERROR(_xlfn.XLOOKUP(Table1[[#This Row],[sales_channel]],Table4[Original],Table4[Clean],,0,1),"Unknown")</f>
        <v>Unknown</v>
      </c>
      <c r="K9" t="s">
        <v>33</v>
      </c>
      <c r="L9" t="str">
        <f>IFERROR(_xlfn.XLOOKUP(Table1[[#This Row],[product]],Table3[Original],Table3[Product_clean],,0,1),"Unknown")</f>
        <v>Tablet</v>
      </c>
      <c r="M9" s="6"/>
      <c r="N9" t="str">
        <f>IF(ISNUMBER(Table1[[#This Row],[quantity]]),Table1[[#This Row],[quantity]],IFERROR(VLOOKUP(Table1[[#This Row],[quantity]],Table5[#All],2,FALSE),"Unknown"))</f>
        <v>Unknown</v>
      </c>
      <c r="P9" t="str">
        <f>IFERROR(VALUE(SUBSTITUTE(SUBSTITUTE(SUBSTITUTE(Table1[[#This Row],[revenue]],"EUR",""),"$",""),".",",")),"")</f>
        <v/>
      </c>
      <c r="Q9" t="s">
        <v>55</v>
      </c>
      <c r="R9" t="str">
        <f>IF(OR(Table1[[#This Row],[currency]]="EUR",Table1[[#This Row],[currency]]="€"),"EUR",IF(OR(Table1[[#This Row],[currency]]="USD",Table1[[#This Row],[currency]]="$"),"USD","Unknown"))</f>
        <v>EUR</v>
      </c>
      <c r="T9" t="str">
        <f>IFERROR(_xlfn.XLOOKUP(Table1[[#This Row],[order_status]],Table8[Original],Table8[Clean],,0,1),"Unknown")</f>
        <v>Unknown</v>
      </c>
      <c r="U9" t="s">
        <v>36</v>
      </c>
      <c r="V9">
        <f>IF(ISNUMBER(Table1[[#This Row],[delivery_days]]),Table1[[#This Row],[delivery_days]],IFERROR(_xlfn.XLOOKUP(Table1[[#This Row],[delivery_days]],Table57[Original],Table57[Clean],,0,1),"Unknown"))</f>
        <v>5</v>
      </c>
    </row>
    <row r="10" spans="1:23" x14ac:dyDescent="0.3">
      <c r="A10">
        <v>1008</v>
      </c>
      <c r="B10" t="str">
        <f>IF(ISBLANK(Table1[[#This Row],[order_id]]),"",IF(LEFT(Table1[[#This Row],[order_id]],3)="ORD",Table1[[#This Row],[order_id]],"ORD-" &amp; Table1[[#This Row],[order_id]]))</f>
        <v>ORD-1008</v>
      </c>
      <c r="D10" s="1" t="str">
        <f>IFERROR(DATEVALUE(Table1[[#This Row],[order_date]]),"")</f>
        <v/>
      </c>
      <c r="E10" t="s">
        <v>56</v>
      </c>
      <c r="F10" t="str">
        <f>IF(ISBLANK(Table1[[#This Row],[customer_name]]),"Unknown Customer",PROPER(SUBSTITUTE(Table1[[#This Row],[customer_name]],"Cust.","Customer")))</f>
        <v>Customer 8</v>
      </c>
      <c r="H10" t="str">
        <f>IFERROR(_xlfn.XLOOKUP(Table1[[#This Row],[region]],Mappings!$C$3:$C$8,Mappings!$D$3:$D$8,,0,1),"Unknown")</f>
        <v>Unknown</v>
      </c>
      <c r="I10" t="s">
        <v>14</v>
      </c>
      <c r="J10" t="str">
        <f>IFERROR(_xlfn.XLOOKUP(Table1[[#This Row],[sales_channel]],Table4[Original],Table4[Clean],,0,1),"Unknown")</f>
        <v>Online</v>
      </c>
      <c r="L10" t="str">
        <f>IFERROR(_xlfn.XLOOKUP(Table1[[#This Row],[product]],Table3[Original],Table3[Product_clean],,0,1),"Unknown")</f>
        <v>Unknown</v>
      </c>
      <c r="M10" s="6">
        <v>1</v>
      </c>
      <c r="N10">
        <f>IF(ISNUMBER(Table1[[#This Row],[quantity]]),Table1[[#This Row],[quantity]],IFERROR(VLOOKUP(Table1[[#This Row],[quantity]],Table5[#All],2,FALSE),"Unknown"))</f>
        <v>1</v>
      </c>
      <c r="O10" t="s">
        <v>57</v>
      </c>
      <c r="P10">
        <f>IFERROR(VALUE(SUBSTITUTE(SUBSTITUTE(SUBSTITUTE(Table1[[#This Row],[revenue]],"EUR",""),"$",""),".",",")),"")</f>
        <v>1228.23</v>
      </c>
      <c r="Q10" t="s">
        <v>58</v>
      </c>
      <c r="R10" t="str">
        <f>IF(OR(Table1[[#This Row],[currency]]="EUR",Table1[[#This Row],[currency]]="€"),"EUR",IF(OR(Table1[[#This Row],[currency]]="USD",Table1[[#This Row],[currency]]="$"),"USD","Unknown"))</f>
        <v>USD</v>
      </c>
      <c r="T10" t="str">
        <f>IFERROR(_xlfn.XLOOKUP(Table1[[#This Row],[order_status]],Table8[Original],Table8[Clean],,0,1),"Unknown")</f>
        <v>Unknown</v>
      </c>
      <c r="U10">
        <v>2</v>
      </c>
      <c r="V10">
        <f>IF(ISNUMBER(Table1[[#This Row],[delivery_days]]),Table1[[#This Row],[delivery_days]],IFERROR(_xlfn.XLOOKUP(Table1[[#This Row],[delivery_days]],Table57[Original],Table57[Clean],,0,1),"Unknown"))</f>
        <v>2</v>
      </c>
    </row>
    <row r="11" spans="1:23" x14ac:dyDescent="0.3">
      <c r="B11" t="str">
        <f>IF(ISBLANK(Table1[[#This Row],[order_id]]),"",IF(LEFT(Table1[[#This Row],[order_id]],3)="ORD",Table1[[#This Row],[order_id]],"ORD-" &amp; Table1[[#This Row],[order_id]]))</f>
        <v/>
      </c>
      <c r="D11" s="1" t="str">
        <f>IFERROR(DATEVALUE(Table1[[#This Row],[order_date]]),"")</f>
        <v/>
      </c>
      <c r="E11" t="s">
        <v>59</v>
      </c>
      <c r="F11" t="str">
        <f>IF(ISBLANK(Table1[[#This Row],[customer_name]]),"Unknown Customer",PROPER(SUBSTITUTE(Table1[[#This Row],[customer_name]],"Cust.","Customer")))</f>
        <v>Customer 9</v>
      </c>
      <c r="G11" t="s">
        <v>45</v>
      </c>
      <c r="H11" t="str">
        <f>IFERROR(_xlfn.XLOOKUP(Table1[[#This Row],[region]],Mappings!$C$3:$C$8,Mappings!$D$3:$D$8,,0,1),"Unknown")</f>
        <v>USA</v>
      </c>
      <c r="I11" t="s">
        <v>14</v>
      </c>
      <c r="J11" t="str">
        <f>IFERROR(_xlfn.XLOOKUP(Table1[[#This Row],[sales_channel]],Table4[Original],Table4[Clean],,0,1),"Unknown")</f>
        <v>Online</v>
      </c>
      <c r="K11" t="s">
        <v>15</v>
      </c>
      <c r="L11" t="str">
        <f>IFERROR(_xlfn.XLOOKUP(Table1[[#This Row],[product]],Table3[Original],Table3[Product_clean],,0,1),"Unknown")</f>
        <v>Tablet</v>
      </c>
      <c r="M11" s="6">
        <v>1</v>
      </c>
      <c r="N11">
        <f>IF(ISNUMBER(Table1[[#This Row],[quantity]]),Table1[[#This Row],[quantity]],IFERROR(VLOOKUP(Table1[[#This Row],[quantity]],Table5[#All],2,FALSE),"Unknown"))</f>
        <v>1</v>
      </c>
      <c r="P11" t="str">
        <f>IFERROR(VALUE(SUBSTITUTE(SUBSTITUTE(SUBSTITUTE(Table1[[#This Row],[revenue]],"EUR",""),"$",""),".",",")),"")</f>
        <v/>
      </c>
      <c r="R11" t="str">
        <f>IF(OR(Table1[[#This Row],[currency]]="EUR",Table1[[#This Row],[currency]]="€"),"EUR",IF(OR(Table1[[#This Row],[currency]]="USD",Table1[[#This Row],[currency]]="$"),"USD","Unknown"))</f>
        <v>Unknown</v>
      </c>
      <c r="S11" t="s">
        <v>35</v>
      </c>
      <c r="T11" t="str">
        <f>IFERROR(_xlfn.XLOOKUP(Table1[[#This Row],[order_status]],Table8[Original],Table8[Clean],,0,1),"Unknown")</f>
        <v>Returned</v>
      </c>
      <c r="V11" t="str">
        <f>IF(ISNUMBER(Table1[[#This Row],[delivery_days]]),Table1[[#This Row],[delivery_days]],IFERROR(_xlfn.XLOOKUP(Table1[[#This Row],[delivery_days]],Table57[Original],Table57[Clean],,0,1),"Unknown"))</f>
        <v>Unknown</v>
      </c>
      <c r="W11" t="s">
        <v>24</v>
      </c>
    </row>
    <row r="12" spans="1:23" x14ac:dyDescent="0.3">
      <c r="A12" t="s">
        <v>60</v>
      </c>
      <c r="B12" t="str">
        <f>IF(ISBLANK(Table1[[#This Row],[order_id]]),"",IF(LEFT(Table1[[#This Row],[order_id]],3)="ORD",Table1[[#This Row],[order_id]],"ORD-" &amp; Table1[[#This Row],[order_id]]))</f>
        <v>ORD-1010</v>
      </c>
      <c r="C12" t="s">
        <v>61</v>
      </c>
      <c r="D12" s="1">
        <f>IFERROR(DATEVALUE(Table1[[#This Row],[order_date]]),"")</f>
        <v>45349</v>
      </c>
      <c r="E12" t="s">
        <v>62</v>
      </c>
      <c r="F12" t="str">
        <f>IF(ISBLANK(Table1[[#This Row],[customer_name]]),"Unknown Customer",PROPER(SUBSTITUTE(Table1[[#This Row],[customer_name]],"Cust.","Customer")))</f>
        <v>Customer 10</v>
      </c>
      <c r="G12" t="s">
        <v>45</v>
      </c>
      <c r="H12" t="str">
        <f>IFERROR(_xlfn.XLOOKUP(Table1[[#This Row],[region]],Mappings!$C$3:$C$8,Mappings!$D$3:$D$8,,0,1),"Unknown")</f>
        <v>USA</v>
      </c>
      <c r="I12" t="s">
        <v>27</v>
      </c>
      <c r="J12" t="str">
        <f>IFERROR(_xlfn.XLOOKUP(Table1[[#This Row],[sales_channel]],Table4[Original],Table4[Clean],,0,1),"Unknown")</f>
        <v>Online</v>
      </c>
      <c r="K12" t="s">
        <v>33</v>
      </c>
      <c r="L12" t="str">
        <f>IFERROR(_xlfn.XLOOKUP(Table1[[#This Row],[product]],Table3[Original],Table3[Product_clean],,0,1),"Unknown")</f>
        <v>Tablet</v>
      </c>
      <c r="M12" s="6">
        <v>1</v>
      </c>
      <c r="N12">
        <f>IF(ISNUMBER(Table1[[#This Row],[quantity]]),Table1[[#This Row],[quantity]],IFERROR(VLOOKUP(Table1[[#This Row],[quantity]],Table5[#All],2,FALSE),"Unknown"))</f>
        <v>1</v>
      </c>
      <c r="O12" t="s">
        <v>63</v>
      </c>
      <c r="P12">
        <f>IFERROR(VALUE(SUBSTITUTE(SUBSTITUTE(SUBSTITUTE(Table1[[#This Row],[revenue]],"EUR",""),"$",""),".",",")),"")</f>
        <v>915.83</v>
      </c>
      <c r="Q12" t="s">
        <v>55</v>
      </c>
      <c r="R12" t="str">
        <f>IF(OR(Table1[[#This Row],[currency]]="EUR",Table1[[#This Row],[currency]]="€"),"EUR",IF(OR(Table1[[#This Row],[currency]]="USD",Table1[[#This Row],[currency]]="$"),"USD","Unknown"))</f>
        <v>EUR</v>
      </c>
      <c r="T12" t="str">
        <f>IFERROR(_xlfn.XLOOKUP(Table1[[#This Row],[order_status]],Table8[Original],Table8[Clean],,0,1),"Unknown")</f>
        <v>Unknown</v>
      </c>
      <c r="U12" t="s">
        <v>36</v>
      </c>
      <c r="V12">
        <f>IF(ISNUMBER(Table1[[#This Row],[delivery_days]]),Table1[[#This Row],[delivery_days]],IFERROR(_xlfn.XLOOKUP(Table1[[#This Row],[delivery_days]],Table57[Original],Table57[Clean],,0,1),"Unknown"))</f>
        <v>5</v>
      </c>
      <c r="W12" t="s">
        <v>37</v>
      </c>
    </row>
    <row r="13" spans="1:23" x14ac:dyDescent="0.3">
      <c r="B13" t="str">
        <f>IF(ISBLANK(Table1[[#This Row],[order_id]]),"",IF(LEFT(Table1[[#This Row],[order_id]],3)="ORD",Table1[[#This Row],[order_id]],"ORD-" &amp; Table1[[#This Row],[order_id]]))</f>
        <v/>
      </c>
      <c r="C13" t="s">
        <v>64</v>
      </c>
      <c r="D13" s="1">
        <f>IFERROR(DATEVALUE(Table1[[#This Row],[order_date]]),"")</f>
        <v>45370</v>
      </c>
      <c r="E13" t="s">
        <v>65</v>
      </c>
      <c r="F13" t="str">
        <f>IF(ISBLANK(Table1[[#This Row],[customer_name]]),"Unknown Customer",PROPER(SUBSTITUTE(Table1[[#This Row],[customer_name]],"Cust.","Customer")))</f>
        <v>Customer 11</v>
      </c>
      <c r="G13" t="s">
        <v>32</v>
      </c>
      <c r="H13" t="str">
        <f>IFERROR(_xlfn.XLOOKUP(Table1[[#This Row],[region]],Mappings!$C$3:$C$8,Mappings!$D$3:$D$8,,0,1),"Unknown")</f>
        <v>Europe</v>
      </c>
      <c r="I13" t="s">
        <v>14</v>
      </c>
      <c r="J13" t="str">
        <f>IFERROR(_xlfn.XLOOKUP(Table1[[#This Row],[sales_channel]],Table4[Original],Table4[Clean],,0,1),"Unknown")</f>
        <v>Online</v>
      </c>
      <c r="K13" t="s">
        <v>51</v>
      </c>
      <c r="L13" t="str">
        <f>IFERROR(_xlfn.XLOOKUP(Table1[[#This Row],[product]],Table3[Original],Table3[Product_clean],,0,1),"Unknown")</f>
        <v>Laptop</v>
      </c>
      <c r="M13" s="6">
        <v>3</v>
      </c>
      <c r="N13">
        <f>IF(ISNUMBER(Table1[[#This Row],[quantity]]),Table1[[#This Row],[quantity]],IFERROR(VLOOKUP(Table1[[#This Row],[quantity]],Table5[#All],2,FALSE),"Unknown"))</f>
        <v>3</v>
      </c>
      <c r="O13" t="s">
        <v>66</v>
      </c>
      <c r="P13">
        <f>IFERROR(VALUE(SUBSTITUTE(SUBSTITUTE(SUBSTITUTE(Table1[[#This Row],[revenue]],"EUR",""),"$",""),".",",")),"")</f>
        <v>1153.05</v>
      </c>
      <c r="Q13" t="s">
        <v>55</v>
      </c>
      <c r="R13" t="str">
        <f>IF(OR(Table1[[#This Row],[currency]]="EUR",Table1[[#This Row],[currency]]="€"),"EUR",IF(OR(Table1[[#This Row],[currency]]="USD",Table1[[#This Row],[currency]]="$"),"USD","Unknown"))</f>
        <v>EUR</v>
      </c>
      <c r="S13" t="s">
        <v>23</v>
      </c>
      <c r="T13" t="str">
        <f>IFERROR(_xlfn.XLOOKUP(Table1[[#This Row],[order_status]],Table8[Original],Table8[Clean],,0,1),"Unknown")</f>
        <v>Delivered</v>
      </c>
      <c r="U13">
        <v>1</v>
      </c>
      <c r="V13">
        <f>IF(ISNUMBER(Table1[[#This Row],[delivery_days]]),Table1[[#This Row],[delivery_days]],IFERROR(_xlfn.XLOOKUP(Table1[[#This Row],[delivery_days]],Table57[Original],Table57[Clean],,0,1),"Unknown"))</f>
        <v>1</v>
      </c>
      <c r="W13" t="s">
        <v>37</v>
      </c>
    </row>
    <row r="14" spans="1:23" x14ac:dyDescent="0.3">
      <c r="B14" t="str">
        <f>IF(ISBLANK(Table1[[#This Row],[order_id]]),"",IF(LEFT(Table1[[#This Row],[order_id]],3)="ORD",Table1[[#This Row],[order_id]],"ORD-" &amp; Table1[[#This Row],[order_id]]))</f>
        <v/>
      </c>
      <c r="D14" s="1" t="str">
        <f>IFERROR(DATEVALUE(Table1[[#This Row],[order_date]]),"")</f>
        <v/>
      </c>
      <c r="E14" t="s">
        <v>67</v>
      </c>
      <c r="F14" t="str">
        <f>IF(ISBLANK(Table1[[#This Row],[customer_name]]),"Unknown Customer",PROPER(SUBSTITUTE(Table1[[#This Row],[customer_name]],"Cust.","Customer")))</f>
        <v>Customer 12</v>
      </c>
      <c r="H14" t="str">
        <f>IFERROR(_xlfn.XLOOKUP(Table1[[#This Row],[region]],Mappings!$C$3:$C$8,Mappings!$D$3:$D$8,,0,1),"Unknown")</f>
        <v>Unknown</v>
      </c>
      <c r="I14" t="s">
        <v>68</v>
      </c>
      <c r="J14" t="str">
        <f>IFERROR(_xlfn.XLOOKUP(Table1[[#This Row],[sales_channel]],Table4[Original],Table4[Clean],,0,1),"Unknown")</f>
        <v>Online</v>
      </c>
      <c r="L14" t="str">
        <f>IFERROR(_xlfn.XLOOKUP(Table1[[#This Row],[product]],Table3[Original],Table3[Product_clean],,0,1),"Unknown")</f>
        <v>Unknown</v>
      </c>
      <c r="M14" s="6">
        <v>2</v>
      </c>
      <c r="N14">
        <f>IF(ISNUMBER(Table1[[#This Row],[quantity]]),Table1[[#This Row],[quantity]],IFERROR(VLOOKUP(Table1[[#This Row],[quantity]],Table5[#All],2,FALSE),"Unknown"))</f>
        <v>2</v>
      </c>
      <c r="O14">
        <v>2843.5</v>
      </c>
      <c r="P14">
        <f>IFERROR(VALUE(SUBSTITUTE(SUBSTITUTE(SUBSTITUTE(Table1[[#This Row],[revenue]],"EUR",""),"$",""),".",",")),"")</f>
        <v>2843.5</v>
      </c>
      <c r="Q14" t="s">
        <v>58</v>
      </c>
      <c r="R14" t="str">
        <f>IF(OR(Table1[[#This Row],[currency]]="EUR",Table1[[#This Row],[currency]]="€"),"EUR",IF(OR(Table1[[#This Row],[currency]]="USD",Table1[[#This Row],[currency]]="$"),"USD","Unknown"))</f>
        <v>USD</v>
      </c>
      <c r="T14" t="str">
        <f>IFERROR(_xlfn.XLOOKUP(Table1[[#This Row],[order_status]],Table8[Original],Table8[Clean],,0,1),"Unknown")</f>
        <v>Unknown</v>
      </c>
      <c r="U14">
        <v>5</v>
      </c>
      <c r="V14">
        <f>IF(ISNUMBER(Table1[[#This Row],[delivery_days]]),Table1[[#This Row],[delivery_days]],IFERROR(_xlfn.XLOOKUP(Table1[[#This Row],[delivery_days]],Table57[Original],Table57[Clean],,0,1),"Unknown"))</f>
        <v>5</v>
      </c>
      <c r="W14" t="s">
        <v>37</v>
      </c>
    </row>
    <row r="15" spans="1:23" x14ac:dyDescent="0.3">
      <c r="A15">
        <v>1013</v>
      </c>
      <c r="B15" t="str">
        <f>IF(ISBLANK(Table1[[#This Row],[order_id]]),"",IF(LEFT(Table1[[#This Row],[order_id]],3)="ORD",Table1[[#This Row],[order_id]],"ORD-" &amp; Table1[[#This Row],[order_id]]))</f>
        <v>ORD-1013</v>
      </c>
      <c r="C15" t="s">
        <v>69</v>
      </c>
      <c r="D15" s="1">
        <f>IFERROR(DATEVALUE(Table1[[#This Row],[order_date]]),"")</f>
        <v>45427</v>
      </c>
      <c r="E15" t="s">
        <v>70</v>
      </c>
      <c r="F15" t="str">
        <f>IF(ISBLANK(Table1[[#This Row],[customer_name]]),"Unknown Customer",PROPER(SUBSTITUTE(Table1[[#This Row],[customer_name]],"Cust.","Customer")))</f>
        <v>Customer 13</v>
      </c>
      <c r="G15" t="s">
        <v>32</v>
      </c>
      <c r="H15" t="str">
        <f>IFERROR(_xlfn.XLOOKUP(Table1[[#This Row],[region]],Mappings!$C$3:$C$8,Mappings!$D$3:$D$8,,0,1),"Unknown")</f>
        <v>Europe</v>
      </c>
      <c r="J15" t="str">
        <f>IFERROR(_xlfn.XLOOKUP(Table1[[#This Row],[sales_channel]],Table4[Original],Table4[Clean],,0,1),"Unknown")</f>
        <v>Unknown</v>
      </c>
      <c r="K15" t="s">
        <v>15</v>
      </c>
      <c r="L15" t="str">
        <f>IFERROR(_xlfn.XLOOKUP(Table1[[#This Row],[product]],Table3[Original],Table3[Product_clean],,0,1),"Unknown")</f>
        <v>Tablet</v>
      </c>
      <c r="M15" s="6">
        <v>3</v>
      </c>
      <c r="N15">
        <f>IF(ISNUMBER(Table1[[#This Row],[quantity]]),Table1[[#This Row],[quantity]],IFERROR(VLOOKUP(Table1[[#This Row],[quantity]],Table5[#All],2,FALSE),"Unknown"))</f>
        <v>3</v>
      </c>
      <c r="P15" t="str">
        <f>IFERROR(VALUE(SUBSTITUTE(SUBSTITUTE(SUBSTITUTE(Table1[[#This Row],[revenue]],"EUR",""),"$",""),".",",")),"")</f>
        <v/>
      </c>
      <c r="Q15" t="s">
        <v>22</v>
      </c>
      <c r="R15" t="str">
        <f>IF(OR(Table1[[#This Row],[currency]]="EUR",Table1[[#This Row],[currency]]="€"),"EUR",IF(OR(Table1[[#This Row],[currency]]="USD",Table1[[#This Row],[currency]]="$"),"USD","Unknown"))</f>
        <v>USD</v>
      </c>
      <c r="S15" t="s">
        <v>18</v>
      </c>
      <c r="T15" t="str">
        <f>IFERROR(_xlfn.XLOOKUP(Table1[[#This Row],[order_status]],Table8[Original],Table8[Clean],,0,1),"Unknown")</f>
        <v>Pending</v>
      </c>
      <c r="U15">
        <v>5</v>
      </c>
      <c r="V15">
        <f>IF(ISNUMBER(Table1[[#This Row],[delivery_days]]),Table1[[#This Row],[delivery_days]],IFERROR(_xlfn.XLOOKUP(Table1[[#This Row],[delivery_days]],Table57[Original],Table57[Clean],,0,1),"Unknown"))</f>
        <v>5</v>
      </c>
    </row>
    <row r="16" spans="1:23" x14ac:dyDescent="0.3">
      <c r="A16">
        <v>1014</v>
      </c>
      <c r="B16" t="str">
        <f>IF(ISBLANK(Table1[[#This Row],[order_id]]),"",IF(LEFT(Table1[[#This Row],[order_id]],3)="ORD",Table1[[#This Row],[order_id]],"ORD-" &amp; Table1[[#This Row],[order_id]]))</f>
        <v>ORD-1014</v>
      </c>
      <c r="C16" t="s">
        <v>71</v>
      </c>
      <c r="D16" s="1">
        <f>IFERROR(DATEVALUE(Table1[[#This Row],[order_date]]),"")</f>
        <v>45418</v>
      </c>
      <c r="E16" t="s">
        <v>72</v>
      </c>
      <c r="F16" t="str">
        <f>IF(ISBLANK(Table1[[#This Row],[customer_name]]),"Unknown Customer",PROPER(SUBSTITUTE(Table1[[#This Row],[customer_name]],"Cust.","Customer")))</f>
        <v>Customer 14</v>
      </c>
      <c r="G16" t="s">
        <v>73</v>
      </c>
      <c r="H16" t="str">
        <f>IFERROR(_xlfn.XLOOKUP(Table1[[#This Row],[region]],Mappings!$C$3:$C$8,Mappings!$D$3:$D$8,,0,1),"Unknown")</f>
        <v>Europe</v>
      </c>
      <c r="I16" t="s">
        <v>14</v>
      </c>
      <c r="J16" t="str">
        <f>IFERROR(_xlfn.XLOOKUP(Table1[[#This Row],[sales_channel]],Table4[Original],Table4[Clean],,0,1),"Unknown")</f>
        <v>Online</v>
      </c>
      <c r="K16" t="s">
        <v>15</v>
      </c>
      <c r="L16" t="str">
        <f>IFERROR(_xlfn.XLOOKUP(Table1[[#This Row],[product]],Table3[Original],Table3[Product_clean],,0,1),"Unknown")</f>
        <v>Tablet</v>
      </c>
      <c r="M16" s="6">
        <v>1</v>
      </c>
      <c r="N16">
        <f>IF(ISNUMBER(Table1[[#This Row],[quantity]]),Table1[[#This Row],[quantity]],IFERROR(VLOOKUP(Table1[[#This Row],[quantity]],Table5[#All],2,FALSE),"Unknown"))</f>
        <v>1</v>
      </c>
      <c r="O16" t="s">
        <v>74</v>
      </c>
      <c r="P16">
        <f>IFERROR(VALUE(SUBSTITUTE(SUBSTITUTE(SUBSTITUTE(Table1[[#This Row],[revenue]],"EUR",""),"$",""),".",",")),"")</f>
        <v>712.86</v>
      </c>
      <c r="Q16" t="s">
        <v>58</v>
      </c>
      <c r="R16" t="str">
        <f>IF(OR(Table1[[#This Row],[currency]]="EUR",Table1[[#This Row],[currency]]="€"),"EUR",IF(OR(Table1[[#This Row],[currency]]="USD",Table1[[#This Row],[currency]]="$"),"USD","Unknown"))</f>
        <v>USD</v>
      </c>
      <c r="S16" t="s">
        <v>30</v>
      </c>
      <c r="T16" t="str">
        <f>IFERROR(_xlfn.XLOOKUP(Table1[[#This Row],[order_status]],Table8[Original],Table8[Clean],,0,1),"Unknown")</f>
        <v>Delivered</v>
      </c>
      <c r="U16">
        <v>1</v>
      </c>
      <c r="V16">
        <f>IF(ISNUMBER(Table1[[#This Row],[delivery_days]]),Table1[[#This Row],[delivery_days]],IFERROR(_xlfn.XLOOKUP(Table1[[#This Row],[delivery_days]],Table57[Original],Table57[Clean],,0,1),"Unknown"))</f>
        <v>1</v>
      </c>
      <c r="W16" t="s">
        <v>24</v>
      </c>
    </row>
    <row r="17" spans="1:23" x14ac:dyDescent="0.3">
      <c r="B17" t="str">
        <f>IF(ISBLANK(Table1[[#This Row],[order_id]]),"",IF(LEFT(Table1[[#This Row],[order_id]],3)="ORD",Table1[[#This Row],[order_id]],"ORD-" &amp; Table1[[#This Row],[order_id]]))</f>
        <v/>
      </c>
      <c r="D17" s="1" t="str">
        <f>IFERROR(DATEVALUE(Table1[[#This Row],[order_date]]),"")</f>
        <v/>
      </c>
      <c r="E17" t="s">
        <v>75</v>
      </c>
      <c r="F17" t="str">
        <f>IF(ISBLANK(Table1[[#This Row],[customer_name]]),"Unknown Customer",PROPER(SUBSTITUTE(Table1[[#This Row],[customer_name]],"Cust.","Customer")))</f>
        <v>Customer 15</v>
      </c>
      <c r="G17" t="s">
        <v>45</v>
      </c>
      <c r="H17" t="str">
        <f>IFERROR(_xlfn.XLOOKUP(Table1[[#This Row],[region]],Mappings!$C$3:$C$8,Mappings!$D$3:$D$8,,0,1),"Unknown")</f>
        <v>USA</v>
      </c>
      <c r="I17" t="s">
        <v>27</v>
      </c>
      <c r="J17" t="str">
        <f>IFERROR(_xlfn.XLOOKUP(Table1[[#This Row],[sales_channel]],Table4[Original],Table4[Clean],,0,1),"Unknown")</f>
        <v>Online</v>
      </c>
      <c r="K17" t="s">
        <v>15</v>
      </c>
      <c r="L17" t="str">
        <f>IFERROR(_xlfn.XLOOKUP(Table1[[#This Row],[product]],Table3[Original],Table3[Product_clean],,0,1),"Unknown")</f>
        <v>Tablet</v>
      </c>
      <c r="M17" s="6"/>
      <c r="N17" t="str">
        <f>IF(ISNUMBER(Table1[[#This Row],[quantity]]),Table1[[#This Row],[quantity]],IFERROR(VLOOKUP(Table1[[#This Row],[quantity]],Table5[#All],2,FALSE),"Unknown"))</f>
        <v>Unknown</v>
      </c>
      <c r="O17" t="s">
        <v>76</v>
      </c>
      <c r="P17">
        <f>IFERROR(VALUE(SUBSTITUTE(SUBSTITUTE(SUBSTITUTE(Table1[[#This Row],[revenue]],"EUR",""),"$",""),".",",")),"")</f>
        <v>1566.76</v>
      </c>
      <c r="R17" t="str">
        <f>IF(OR(Table1[[#This Row],[currency]]="EUR",Table1[[#This Row],[currency]]="€"),"EUR",IF(OR(Table1[[#This Row],[currency]]="USD",Table1[[#This Row],[currency]]="$"),"USD","Unknown"))</f>
        <v>Unknown</v>
      </c>
      <c r="S17" t="s">
        <v>47</v>
      </c>
      <c r="T17" t="str">
        <f>IFERROR(_xlfn.XLOOKUP(Table1[[#This Row],[order_status]],Table8[Original],Table8[Clean],,0,1),"Unknown")</f>
        <v>Returned</v>
      </c>
      <c r="U17">
        <v>2</v>
      </c>
      <c r="V17">
        <f>IF(ISNUMBER(Table1[[#This Row],[delivery_days]]),Table1[[#This Row],[delivery_days]],IFERROR(_xlfn.XLOOKUP(Table1[[#This Row],[delivery_days]],Table57[Original],Table57[Clean],,0,1),"Unknown"))</f>
        <v>2</v>
      </c>
    </row>
    <row r="18" spans="1:23" x14ac:dyDescent="0.3">
      <c r="A18">
        <v>1016</v>
      </c>
      <c r="B18" t="str">
        <f>IF(ISBLANK(Table1[[#This Row],[order_id]]),"",IF(LEFT(Table1[[#This Row],[order_id]],3)="ORD",Table1[[#This Row],[order_id]],"ORD-" &amp; Table1[[#This Row],[order_id]]))</f>
        <v>ORD-1016</v>
      </c>
      <c r="D18" s="1" t="str">
        <f>IFERROR(DATEVALUE(Table1[[#This Row],[order_date]]),"")</f>
        <v/>
      </c>
      <c r="E18" t="s">
        <v>77</v>
      </c>
      <c r="F18" t="str">
        <f>IF(ISBLANK(Table1[[#This Row],[customer_name]]),"Unknown Customer",PROPER(SUBSTITUTE(Table1[[#This Row],[customer_name]],"Cust.","Customer")))</f>
        <v>Customer 16</v>
      </c>
      <c r="G18" t="s">
        <v>32</v>
      </c>
      <c r="H18" t="str">
        <f>IFERROR(_xlfn.XLOOKUP(Table1[[#This Row],[region]],Mappings!$C$3:$C$8,Mappings!$D$3:$D$8,,0,1),"Unknown")</f>
        <v>Europe</v>
      </c>
      <c r="I18" t="s">
        <v>78</v>
      </c>
      <c r="J18" t="str">
        <f>IFERROR(_xlfn.XLOOKUP(Table1[[#This Row],[sales_channel]],Table4[Original],Table4[Clean],,0,1),"Unknown")</f>
        <v>Mobile</v>
      </c>
      <c r="K18" t="s">
        <v>41</v>
      </c>
      <c r="L18" t="str">
        <f>IFERROR(_xlfn.XLOOKUP(Table1[[#This Row],[product]],Table3[Original],Table3[Product_clean],,0,1),"Unknown")</f>
        <v>Phone</v>
      </c>
      <c r="M18" s="6">
        <v>1</v>
      </c>
      <c r="N18">
        <f>IF(ISNUMBER(Table1[[#This Row],[quantity]]),Table1[[#This Row],[quantity]],IFERROR(VLOOKUP(Table1[[#This Row],[quantity]],Table5[#All],2,FALSE),"Unknown"))</f>
        <v>1</v>
      </c>
      <c r="O18">
        <v>1250.83</v>
      </c>
      <c r="P18">
        <f>IFERROR(VALUE(SUBSTITUTE(SUBSTITUTE(SUBSTITUTE(Table1[[#This Row],[revenue]],"EUR",""),"$",""),".",",")),"")</f>
        <v>1250.83</v>
      </c>
      <c r="Q18" t="s">
        <v>17</v>
      </c>
      <c r="R18" t="str">
        <f>IF(OR(Table1[[#This Row],[currency]]="EUR",Table1[[#This Row],[currency]]="€"),"EUR",IF(OR(Table1[[#This Row],[currency]]="USD",Table1[[#This Row],[currency]]="$"),"USD","Unknown"))</f>
        <v>EUR</v>
      </c>
      <c r="S18" t="s">
        <v>30</v>
      </c>
      <c r="T18" t="str">
        <f>IFERROR(_xlfn.XLOOKUP(Table1[[#This Row],[order_status]],Table8[Original],Table8[Clean],,0,1),"Unknown")</f>
        <v>Delivered</v>
      </c>
      <c r="U18">
        <v>5</v>
      </c>
      <c r="V18">
        <f>IF(ISNUMBER(Table1[[#This Row],[delivery_days]]),Table1[[#This Row],[delivery_days]],IFERROR(_xlfn.XLOOKUP(Table1[[#This Row],[delivery_days]],Table57[Original],Table57[Clean],,0,1),"Unknown"))</f>
        <v>5</v>
      </c>
      <c r="W18" t="s">
        <v>24</v>
      </c>
    </row>
    <row r="19" spans="1:23" x14ac:dyDescent="0.3">
      <c r="A19">
        <v>1017</v>
      </c>
      <c r="B19" t="str">
        <f>IF(ISBLANK(Table1[[#This Row],[order_id]]),"",IF(LEFT(Table1[[#This Row],[order_id]],3)="ORD",Table1[[#This Row],[order_id]],"ORD-" &amp; Table1[[#This Row],[order_id]]))</f>
        <v>ORD-1017</v>
      </c>
      <c r="C19" t="s">
        <v>79</v>
      </c>
      <c r="D19" s="1">
        <f>IFERROR(DATEVALUE(Table1[[#This Row],[order_date]]),"")</f>
        <v>45701</v>
      </c>
      <c r="F19" t="str">
        <f>IF(ISBLANK(Table1[[#This Row],[customer_name]]),"Unknown Customer",PROPER(SUBSTITUTE(Table1[[#This Row],[customer_name]],"Cust.","Customer")))</f>
        <v>Unknown Customer</v>
      </c>
      <c r="G19" t="s">
        <v>54</v>
      </c>
      <c r="H19" t="str">
        <f>IFERROR(_xlfn.XLOOKUP(Table1[[#This Row],[region]],Mappings!$C$3:$C$8,Mappings!$D$3:$D$8,,0,1),"Unknown")</f>
        <v>USA</v>
      </c>
      <c r="I19" t="s">
        <v>78</v>
      </c>
      <c r="J19" t="str">
        <f>IFERROR(_xlfn.XLOOKUP(Table1[[#This Row],[sales_channel]],Table4[Original],Table4[Clean],,0,1),"Unknown")</f>
        <v>Mobile</v>
      </c>
      <c r="K19" t="s">
        <v>28</v>
      </c>
      <c r="L19" t="str">
        <f>IFERROR(_xlfn.XLOOKUP(Table1[[#This Row],[product]],Table3[Original],Table3[Product_clean],,0,1),"Unknown")</f>
        <v>Laptop</v>
      </c>
      <c r="M19" s="6">
        <v>3</v>
      </c>
      <c r="N19">
        <f>IF(ISNUMBER(Table1[[#This Row],[quantity]]),Table1[[#This Row],[quantity]],IFERROR(VLOOKUP(Table1[[#This Row],[quantity]],Table5[#All],2,FALSE),"Unknown"))</f>
        <v>3</v>
      </c>
      <c r="O19" t="s">
        <v>80</v>
      </c>
      <c r="P19">
        <f>IFERROR(VALUE(SUBSTITUTE(SUBSTITUTE(SUBSTITUTE(Table1[[#This Row],[revenue]],"EUR",""),"$",""),".",",")),"")</f>
        <v>2591.9299999999998</v>
      </c>
      <c r="Q19" t="s">
        <v>22</v>
      </c>
      <c r="R19" t="str">
        <f>IF(OR(Table1[[#This Row],[currency]]="EUR",Table1[[#This Row],[currency]]="€"),"EUR",IF(OR(Table1[[#This Row],[currency]]="USD",Table1[[#This Row],[currency]]="$"),"USD","Unknown"))</f>
        <v>USD</v>
      </c>
      <c r="S19" t="s">
        <v>23</v>
      </c>
      <c r="T19" t="str">
        <f>IFERROR(_xlfn.XLOOKUP(Table1[[#This Row],[order_status]],Table8[Original],Table8[Clean],,0,1),"Unknown")</f>
        <v>Delivered</v>
      </c>
      <c r="U19">
        <v>1</v>
      </c>
      <c r="V19">
        <f>IF(ISNUMBER(Table1[[#This Row],[delivery_days]]),Table1[[#This Row],[delivery_days]],IFERROR(_xlfn.XLOOKUP(Table1[[#This Row],[delivery_days]],Table57[Original],Table57[Clean],,0,1),"Unknown"))</f>
        <v>1</v>
      </c>
    </row>
    <row r="20" spans="1:23" x14ac:dyDescent="0.3">
      <c r="A20">
        <v>1018</v>
      </c>
      <c r="B20" t="str">
        <f>IF(ISBLANK(Table1[[#This Row],[order_id]]),"",IF(LEFT(Table1[[#This Row],[order_id]],3)="ORD",Table1[[#This Row],[order_id]],"ORD-" &amp; Table1[[#This Row],[order_id]]))</f>
        <v>ORD-1018</v>
      </c>
      <c r="C20" t="s">
        <v>81</v>
      </c>
      <c r="D20" s="1">
        <f>IFERROR(DATEVALUE(Table1[[#This Row],[order_date]]),"")</f>
        <v>45705</v>
      </c>
      <c r="E20" t="s">
        <v>82</v>
      </c>
      <c r="F20" t="str">
        <f>IF(ISBLANK(Table1[[#This Row],[customer_name]]),"Unknown Customer",PROPER(SUBSTITUTE(Table1[[#This Row],[customer_name]],"Cust.","Customer")))</f>
        <v>Customer 18</v>
      </c>
      <c r="H20" t="str">
        <f>IFERROR(_xlfn.XLOOKUP(Table1[[#This Row],[region]],Mappings!$C$3:$C$8,Mappings!$D$3:$D$8,,0,1),"Unknown")</f>
        <v>Unknown</v>
      </c>
      <c r="I20" t="s">
        <v>27</v>
      </c>
      <c r="J20" t="str">
        <f>IFERROR(_xlfn.XLOOKUP(Table1[[#This Row],[sales_channel]],Table4[Original],Table4[Clean],,0,1),"Unknown")</f>
        <v>Online</v>
      </c>
      <c r="K20" t="s">
        <v>28</v>
      </c>
      <c r="L20" t="str">
        <f>IFERROR(_xlfn.XLOOKUP(Table1[[#This Row],[product]],Table3[Original],Table3[Product_clean],,0,1),"Unknown")</f>
        <v>Laptop</v>
      </c>
      <c r="M20" s="4" t="s">
        <v>83</v>
      </c>
      <c r="N20">
        <f>IF(ISNUMBER(Table1[[#This Row],[quantity]]),Table1[[#This Row],[quantity]],IFERROR(VLOOKUP(Table1[[#This Row],[quantity]],Table5[#All],2,FALSE),"Unknown"))</f>
        <v>2</v>
      </c>
      <c r="O20">
        <v>2590.98</v>
      </c>
      <c r="P20">
        <f>IFERROR(VALUE(SUBSTITUTE(SUBSTITUTE(SUBSTITUTE(Table1[[#This Row],[revenue]],"EUR",""),"$",""),".",",")),"")</f>
        <v>2590.98</v>
      </c>
      <c r="Q20" t="s">
        <v>22</v>
      </c>
      <c r="R20" t="str">
        <f>IF(OR(Table1[[#This Row],[currency]]="EUR",Table1[[#This Row],[currency]]="€"),"EUR",IF(OR(Table1[[#This Row],[currency]]="USD",Table1[[#This Row],[currency]]="$"),"USD","Unknown"))</f>
        <v>USD</v>
      </c>
      <c r="S20" t="s">
        <v>47</v>
      </c>
      <c r="T20" t="str">
        <f>IFERROR(_xlfn.XLOOKUP(Table1[[#This Row],[order_status]],Table8[Original],Table8[Clean],,0,1),"Unknown")</f>
        <v>Returned</v>
      </c>
      <c r="U20">
        <v>2</v>
      </c>
      <c r="V20">
        <f>IF(ISNUMBER(Table1[[#This Row],[delivery_days]]),Table1[[#This Row],[delivery_days]],IFERROR(_xlfn.XLOOKUP(Table1[[#This Row],[delivery_days]],Table57[Original],Table57[Clean],,0,1),"Unknown"))</f>
        <v>2</v>
      </c>
    </row>
    <row r="21" spans="1:23" x14ac:dyDescent="0.3">
      <c r="A21" t="s">
        <v>84</v>
      </c>
      <c r="B21" t="str">
        <f>IF(ISBLANK(Table1[[#This Row],[order_id]]),"",IF(LEFT(Table1[[#This Row],[order_id]],3)="ORD",Table1[[#This Row],[order_id]],"ORD-" &amp; Table1[[#This Row],[order_id]]))</f>
        <v>ORD-1019</v>
      </c>
      <c r="C21" t="s">
        <v>85</v>
      </c>
      <c r="D21" s="1" t="str">
        <f>IFERROR(DATEVALUE(Table1[[#This Row],[order_date]]),"")</f>
        <v/>
      </c>
      <c r="F21" t="str">
        <f>IF(ISBLANK(Table1[[#This Row],[customer_name]]),"Unknown Customer",PROPER(SUBSTITUTE(Table1[[#This Row],[customer_name]],"Cust.","Customer")))</f>
        <v>Unknown Customer</v>
      </c>
      <c r="G21" t="s">
        <v>26</v>
      </c>
      <c r="H21" t="str">
        <f>IFERROR(_xlfn.XLOOKUP(Table1[[#This Row],[region]],Mappings!$C$3:$C$8,Mappings!$D$3:$D$8,,0,1),"Unknown")</f>
        <v>Asia</v>
      </c>
      <c r="I21" t="s">
        <v>78</v>
      </c>
      <c r="J21" t="str">
        <f>IFERROR(_xlfn.XLOOKUP(Table1[[#This Row],[sales_channel]],Table4[Original],Table4[Clean],,0,1),"Unknown")</f>
        <v>Mobile</v>
      </c>
      <c r="K21" t="s">
        <v>15</v>
      </c>
      <c r="L21" t="str">
        <f>IFERROR(_xlfn.XLOOKUP(Table1[[#This Row],[product]],Table3[Original],Table3[Product_clean],,0,1),"Unknown")</f>
        <v>Tablet</v>
      </c>
      <c r="M21" s="6"/>
      <c r="N21" t="str">
        <f>IF(ISNUMBER(Table1[[#This Row],[quantity]]),Table1[[#This Row],[quantity]],IFERROR(VLOOKUP(Table1[[#This Row],[quantity]],Table5[#All],2,FALSE),"Unknown"))</f>
        <v>Unknown</v>
      </c>
      <c r="O21">
        <v>535.67999999999995</v>
      </c>
      <c r="P21">
        <f>IFERROR(VALUE(SUBSTITUTE(SUBSTITUTE(SUBSTITUTE(Table1[[#This Row],[revenue]],"EUR",""),"$",""),".",",")),"")</f>
        <v>535.67999999999995</v>
      </c>
      <c r="Q21" t="s">
        <v>22</v>
      </c>
      <c r="R21" t="str">
        <f>IF(OR(Table1[[#This Row],[currency]]="EUR",Table1[[#This Row],[currency]]="€"),"EUR",IF(OR(Table1[[#This Row],[currency]]="USD",Table1[[#This Row],[currency]]="$"),"USD","Unknown"))</f>
        <v>USD</v>
      </c>
      <c r="S21" t="s">
        <v>23</v>
      </c>
      <c r="T21" t="str">
        <f>IFERROR(_xlfn.XLOOKUP(Table1[[#This Row],[order_status]],Table8[Original],Table8[Clean],,0,1),"Unknown")</f>
        <v>Delivered</v>
      </c>
      <c r="U21">
        <v>2</v>
      </c>
      <c r="V21">
        <f>IF(ISNUMBER(Table1[[#This Row],[delivery_days]]),Table1[[#This Row],[delivery_days]],IFERROR(_xlfn.XLOOKUP(Table1[[#This Row],[delivery_days]],Table57[Original],Table57[Clean],,0,1),"Unknown"))</f>
        <v>2</v>
      </c>
      <c r="W21" t="s">
        <v>24</v>
      </c>
    </row>
    <row r="22" spans="1:23" x14ac:dyDescent="0.3">
      <c r="B22" t="str">
        <f>IF(ISBLANK(Table1[[#This Row],[order_id]]),"",IF(LEFT(Table1[[#This Row],[order_id]],3)="ORD",Table1[[#This Row],[order_id]],"ORD-" &amp; Table1[[#This Row],[order_id]]))</f>
        <v/>
      </c>
      <c r="C22" t="s">
        <v>86</v>
      </c>
      <c r="D22" s="1" t="str">
        <f>IFERROR(DATEVALUE(Table1[[#This Row],[order_date]]),"")</f>
        <v/>
      </c>
      <c r="E22" t="s">
        <v>87</v>
      </c>
      <c r="F22" t="str">
        <f>IF(ISBLANK(Table1[[#This Row],[customer_name]]),"Unknown Customer",PROPER(SUBSTITUTE(Table1[[#This Row],[customer_name]],"Cust.","Customer")))</f>
        <v>Customer 20</v>
      </c>
      <c r="G22" t="s">
        <v>73</v>
      </c>
      <c r="H22" t="str">
        <f>IFERROR(_xlfn.XLOOKUP(Table1[[#This Row],[region]],Mappings!$C$3:$C$8,Mappings!$D$3:$D$8,,0,1),"Unknown")</f>
        <v>Europe</v>
      </c>
      <c r="I22" t="s">
        <v>68</v>
      </c>
      <c r="J22" t="str">
        <f>IFERROR(_xlfn.XLOOKUP(Table1[[#This Row],[sales_channel]],Table4[Original],Table4[Clean],,0,1),"Unknown")</f>
        <v>Online</v>
      </c>
      <c r="K22" t="s">
        <v>41</v>
      </c>
      <c r="L22" t="str">
        <f>IFERROR(_xlfn.XLOOKUP(Table1[[#This Row],[product]],Table3[Original],Table3[Product_clean],,0,1),"Unknown")</f>
        <v>Phone</v>
      </c>
      <c r="M22" s="6"/>
      <c r="N22" t="str">
        <f>IF(ISNUMBER(Table1[[#This Row],[quantity]]),Table1[[#This Row],[quantity]],IFERROR(VLOOKUP(Table1[[#This Row],[quantity]],Table5[#All],2,FALSE),"Unknown"))</f>
        <v>Unknown</v>
      </c>
      <c r="O22">
        <v>2907.69</v>
      </c>
      <c r="P22">
        <f>IFERROR(VALUE(SUBSTITUTE(SUBSTITUTE(SUBSTITUTE(Table1[[#This Row],[revenue]],"EUR",""),"$",""),".",",")),"")</f>
        <v>2907.69</v>
      </c>
      <c r="R22" t="str">
        <f>IF(OR(Table1[[#This Row],[currency]]="EUR",Table1[[#This Row],[currency]]="€"),"EUR",IF(OR(Table1[[#This Row],[currency]]="USD",Table1[[#This Row],[currency]]="$"),"USD","Unknown"))</f>
        <v>Unknown</v>
      </c>
      <c r="S22" t="s">
        <v>23</v>
      </c>
      <c r="T22" t="str">
        <f>IFERROR(_xlfn.XLOOKUP(Table1[[#This Row],[order_status]],Table8[Original],Table8[Clean],,0,1),"Unknown")</f>
        <v>Delivered</v>
      </c>
      <c r="U22">
        <v>1</v>
      </c>
      <c r="V22">
        <f>IF(ISNUMBER(Table1[[#This Row],[delivery_days]]),Table1[[#This Row],[delivery_days]],IFERROR(_xlfn.XLOOKUP(Table1[[#This Row],[delivery_days]],Table57[Original],Table57[Clean],,0,1),"Unknown"))</f>
        <v>1</v>
      </c>
    </row>
    <row r="23" spans="1:23" x14ac:dyDescent="0.3">
      <c r="B23" t="str">
        <f>IF(ISBLANK(Table1[[#This Row],[order_id]]),"",IF(LEFT(Table1[[#This Row],[order_id]],3)="ORD",Table1[[#This Row],[order_id]],"ORD-" &amp; Table1[[#This Row],[order_id]]))</f>
        <v/>
      </c>
      <c r="C23" t="s">
        <v>88</v>
      </c>
      <c r="D23" s="1">
        <f>IFERROR(DATEVALUE(Table1[[#This Row],[order_date]]),"")</f>
        <v>45387</v>
      </c>
      <c r="F23" t="str">
        <f>IF(ISBLANK(Table1[[#This Row],[customer_name]]),"Unknown Customer",PROPER(SUBSTITUTE(Table1[[#This Row],[customer_name]],"Cust.","Customer")))</f>
        <v>Unknown Customer</v>
      </c>
      <c r="G23" t="s">
        <v>73</v>
      </c>
      <c r="H23" t="str">
        <f>IFERROR(_xlfn.XLOOKUP(Table1[[#This Row],[region]],Mappings!$C$3:$C$8,Mappings!$D$3:$D$8,,0,1),"Unknown")</f>
        <v>Europe</v>
      </c>
      <c r="I23" t="s">
        <v>68</v>
      </c>
      <c r="J23" t="str">
        <f>IFERROR(_xlfn.XLOOKUP(Table1[[#This Row],[sales_channel]],Table4[Original],Table4[Clean],,0,1),"Unknown")</f>
        <v>Online</v>
      </c>
      <c r="K23" t="s">
        <v>28</v>
      </c>
      <c r="L23" t="str">
        <f>IFERROR(_xlfn.XLOOKUP(Table1[[#This Row],[product]],Table3[Original],Table3[Product_clean],,0,1),"Unknown")</f>
        <v>Laptop</v>
      </c>
      <c r="M23" s="6"/>
      <c r="N23" t="str">
        <f>IF(ISNUMBER(Table1[[#This Row],[quantity]]),Table1[[#This Row],[quantity]],IFERROR(VLOOKUP(Table1[[#This Row],[quantity]],Table5[#All],2,FALSE),"Unknown"))</f>
        <v>Unknown</v>
      </c>
      <c r="O23">
        <v>252.14</v>
      </c>
      <c r="P23">
        <f>IFERROR(VALUE(SUBSTITUTE(SUBSTITUTE(SUBSTITUTE(Table1[[#This Row],[revenue]],"EUR",""),"$",""),".",",")),"")</f>
        <v>252.14</v>
      </c>
      <c r="R23" t="str">
        <f>IF(OR(Table1[[#This Row],[currency]]="EUR",Table1[[#This Row],[currency]]="€"),"EUR",IF(OR(Table1[[#This Row],[currency]]="USD",Table1[[#This Row],[currency]]="$"),"USD","Unknown"))</f>
        <v>Unknown</v>
      </c>
      <c r="S23" t="s">
        <v>30</v>
      </c>
      <c r="T23" t="str">
        <f>IFERROR(_xlfn.XLOOKUP(Table1[[#This Row],[order_status]],Table8[Original],Table8[Clean],,0,1),"Unknown")</f>
        <v>Delivered</v>
      </c>
      <c r="U23" t="s">
        <v>36</v>
      </c>
      <c r="V23">
        <f>IF(ISNUMBER(Table1[[#This Row],[delivery_days]]),Table1[[#This Row],[delivery_days]],IFERROR(_xlfn.XLOOKUP(Table1[[#This Row],[delivery_days]],Table57[Original],Table57[Clean],,0,1),"Unknown"))</f>
        <v>5</v>
      </c>
    </row>
    <row r="24" spans="1:23" x14ac:dyDescent="0.3">
      <c r="A24" t="s">
        <v>89</v>
      </c>
      <c r="B24" t="str">
        <f>IF(ISBLANK(Table1[[#This Row],[order_id]]),"",IF(LEFT(Table1[[#This Row],[order_id]],3)="ORD",Table1[[#This Row],[order_id]],"ORD-" &amp; Table1[[#This Row],[order_id]]))</f>
        <v>ORD-1022</v>
      </c>
      <c r="C24" t="s">
        <v>90</v>
      </c>
      <c r="D24" s="1">
        <f>IFERROR(DATEVALUE(Table1[[#This Row],[order_date]]),"")</f>
        <v>45506</v>
      </c>
      <c r="E24" t="s">
        <v>91</v>
      </c>
      <c r="F24" t="str">
        <f>IF(ISBLANK(Table1[[#This Row],[customer_name]]),"Unknown Customer",PROPER(SUBSTITUTE(Table1[[#This Row],[customer_name]],"Cust.","Customer")))</f>
        <v>Customer 22</v>
      </c>
      <c r="G24" t="s">
        <v>54</v>
      </c>
      <c r="H24" t="str">
        <f>IFERROR(_xlfn.XLOOKUP(Table1[[#This Row],[region]],Mappings!$C$3:$C$8,Mappings!$D$3:$D$8,,0,1),"Unknown")</f>
        <v>USA</v>
      </c>
      <c r="I24" t="s">
        <v>50</v>
      </c>
      <c r="J24" t="str">
        <f>IFERROR(_xlfn.XLOOKUP(Table1[[#This Row],[sales_channel]],Table4[Original],Table4[Clean],,0,1),"Unknown")</f>
        <v>Mobile</v>
      </c>
      <c r="K24" t="s">
        <v>41</v>
      </c>
      <c r="L24" t="str">
        <f>IFERROR(_xlfn.XLOOKUP(Table1[[#This Row],[product]],Table3[Original],Table3[Product_clean],,0,1),"Unknown")</f>
        <v>Phone</v>
      </c>
      <c r="M24" s="6">
        <v>2</v>
      </c>
      <c r="N24">
        <f>IF(ISNUMBER(Table1[[#This Row],[quantity]]),Table1[[#This Row],[quantity]],IFERROR(VLOOKUP(Table1[[#This Row],[quantity]],Table5[#All],2,FALSE),"Unknown"))</f>
        <v>2</v>
      </c>
      <c r="O24" t="s">
        <v>92</v>
      </c>
      <c r="P24">
        <f>IFERROR(VALUE(SUBSTITUTE(SUBSTITUTE(SUBSTITUTE(Table1[[#This Row],[revenue]],"EUR",""),"$",""),".",",")),"")</f>
        <v>1989.25</v>
      </c>
      <c r="Q24" t="s">
        <v>55</v>
      </c>
      <c r="R24" t="str">
        <f>IF(OR(Table1[[#This Row],[currency]]="EUR",Table1[[#This Row],[currency]]="€"),"EUR",IF(OR(Table1[[#This Row],[currency]]="USD",Table1[[#This Row],[currency]]="$"),"USD","Unknown"))</f>
        <v>EUR</v>
      </c>
      <c r="S24" t="s">
        <v>47</v>
      </c>
      <c r="T24" t="str">
        <f>IFERROR(_xlfn.XLOOKUP(Table1[[#This Row],[order_status]],Table8[Original],Table8[Clean],,0,1),"Unknown")</f>
        <v>Returned</v>
      </c>
      <c r="U24">
        <v>3</v>
      </c>
      <c r="V24">
        <f>IF(ISNUMBER(Table1[[#This Row],[delivery_days]]),Table1[[#This Row],[delivery_days]],IFERROR(_xlfn.XLOOKUP(Table1[[#This Row],[delivery_days]],Table57[Original],Table57[Clean],,0,1),"Unknown"))</f>
        <v>3</v>
      </c>
    </row>
    <row r="25" spans="1:23" x14ac:dyDescent="0.3">
      <c r="A25">
        <v>1023</v>
      </c>
      <c r="B25" t="str">
        <f>IF(ISBLANK(Table1[[#This Row],[order_id]]),"",IF(LEFT(Table1[[#This Row],[order_id]],3)="ORD",Table1[[#This Row],[order_id]],"ORD-" &amp; Table1[[#This Row],[order_id]]))</f>
        <v>ORD-1023</v>
      </c>
      <c r="C25" t="s">
        <v>93</v>
      </c>
      <c r="D25" s="1">
        <f>IFERROR(DATEVALUE(Table1[[#This Row],[order_date]]),"")</f>
        <v>45296</v>
      </c>
      <c r="E25" t="s">
        <v>94</v>
      </c>
      <c r="F25" t="str">
        <f>IF(ISBLANK(Table1[[#This Row],[customer_name]]),"Unknown Customer",PROPER(SUBSTITUTE(Table1[[#This Row],[customer_name]],"Cust.","Customer")))</f>
        <v>Customer 23</v>
      </c>
      <c r="G25" t="s">
        <v>54</v>
      </c>
      <c r="H25" t="str">
        <f>IFERROR(_xlfn.XLOOKUP(Table1[[#This Row],[region]],Mappings!$C$3:$C$8,Mappings!$D$3:$D$8,,0,1),"Unknown")</f>
        <v>USA</v>
      </c>
      <c r="I25" t="s">
        <v>50</v>
      </c>
      <c r="J25" t="str">
        <f>IFERROR(_xlfn.XLOOKUP(Table1[[#This Row],[sales_channel]],Table4[Original],Table4[Clean],,0,1),"Unknown")</f>
        <v>Mobile</v>
      </c>
      <c r="K25" t="s">
        <v>51</v>
      </c>
      <c r="L25" t="str">
        <f>IFERROR(_xlfn.XLOOKUP(Table1[[#This Row],[product]],Table3[Original],Table3[Product_clean],,0,1),"Unknown")</f>
        <v>Laptop</v>
      </c>
      <c r="M25" s="6">
        <v>2</v>
      </c>
      <c r="N25">
        <f>IF(ISNUMBER(Table1[[#This Row],[quantity]]),Table1[[#This Row],[quantity]],IFERROR(VLOOKUP(Table1[[#This Row],[quantity]],Table5[#All],2,FALSE),"Unknown"))</f>
        <v>2</v>
      </c>
      <c r="O25">
        <v>1401.94</v>
      </c>
      <c r="P25">
        <f>IFERROR(VALUE(SUBSTITUTE(SUBSTITUTE(SUBSTITUTE(Table1[[#This Row],[revenue]],"EUR",""),"$",""),".",",")),"")</f>
        <v>1401.94</v>
      </c>
      <c r="Q25" t="s">
        <v>55</v>
      </c>
      <c r="R25" t="str">
        <f>IF(OR(Table1[[#This Row],[currency]]="EUR",Table1[[#This Row],[currency]]="€"),"EUR",IF(OR(Table1[[#This Row],[currency]]="USD",Table1[[#This Row],[currency]]="$"),"USD","Unknown"))</f>
        <v>EUR</v>
      </c>
      <c r="S25" t="s">
        <v>35</v>
      </c>
      <c r="T25" t="str">
        <f>IFERROR(_xlfn.XLOOKUP(Table1[[#This Row],[order_status]],Table8[Original],Table8[Clean],,0,1),"Unknown")</f>
        <v>Returned</v>
      </c>
      <c r="U25">
        <v>2</v>
      </c>
      <c r="V25">
        <f>IF(ISNUMBER(Table1[[#This Row],[delivery_days]]),Table1[[#This Row],[delivery_days]],IFERROR(_xlfn.XLOOKUP(Table1[[#This Row],[delivery_days]],Table57[Original],Table57[Clean],,0,1),"Unknown"))</f>
        <v>2</v>
      </c>
    </row>
    <row r="26" spans="1:23" x14ac:dyDescent="0.3">
      <c r="B26" t="str">
        <f>IF(ISBLANK(Table1[[#This Row],[order_id]]),"",IF(LEFT(Table1[[#This Row],[order_id]],3)="ORD",Table1[[#This Row],[order_id]],"ORD-" &amp; Table1[[#This Row],[order_id]]))</f>
        <v/>
      </c>
      <c r="C26" t="s">
        <v>95</v>
      </c>
      <c r="D26" s="1">
        <f>IFERROR(DATEVALUE(Table1[[#This Row],[order_date]]),"")</f>
        <v>45422</v>
      </c>
      <c r="E26" t="s">
        <v>96</v>
      </c>
      <c r="F26" t="str">
        <f>IF(ISBLANK(Table1[[#This Row],[customer_name]]),"Unknown Customer",PROPER(SUBSTITUTE(Table1[[#This Row],[customer_name]],"Cust.","Customer")))</f>
        <v>Customer 24</v>
      </c>
      <c r="G26" t="s">
        <v>54</v>
      </c>
      <c r="H26" t="str">
        <f>IFERROR(_xlfn.XLOOKUP(Table1[[#This Row],[region]],Mappings!$C$3:$C$8,Mappings!$D$3:$D$8,,0,1),"Unknown")</f>
        <v>USA</v>
      </c>
      <c r="I26" t="s">
        <v>50</v>
      </c>
      <c r="J26" t="str">
        <f>IFERROR(_xlfn.XLOOKUP(Table1[[#This Row],[sales_channel]],Table4[Original],Table4[Clean],,0,1),"Unknown")</f>
        <v>Mobile</v>
      </c>
      <c r="K26" t="s">
        <v>51</v>
      </c>
      <c r="L26" t="str">
        <f>IFERROR(_xlfn.XLOOKUP(Table1[[#This Row],[product]],Table3[Original],Table3[Product_clean],,0,1),"Unknown")</f>
        <v>Laptop</v>
      </c>
      <c r="M26" s="6">
        <v>1</v>
      </c>
      <c r="N26">
        <f>IF(ISNUMBER(Table1[[#This Row],[quantity]]),Table1[[#This Row],[quantity]],IFERROR(VLOOKUP(Table1[[#This Row],[quantity]],Table5[#All],2,FALSE),"Unknown"))</f>
        <v>1</v>
      </c>
      <c r="O26">
        <v>2125.44</v>
      </c>
      <c r="P26">
        <f>IFERROR(VALUE(SUBSTITUTE(SUBSTITUTE(SUBSTITUTE(Table1[[#This Row],[revenue]],"EUR",""),"$",""),".",",")),"")</f>
        <v>2125.44</v>
      </c>
      <c r="R26" t="str">
        <f>IF(OR(Table1[[#This Row],[currency]]="EUR",Table1[[#This Row],[currency]]="€"),"EUR",IF(OR(Table1[[#This Row],[currency]]="USD",Table1[[#This Row],[currency]]="$"),"USD","Unknown"))</f>
        <v>Unknown</v>
      </c>
      <c r="S26" t="s">
        <v>23</v>
      </c>
      <c r="T26" t="str">
        <f>IFERROR(_xlfn.XLOOKUP(Table1[[#This Row],[order_status]],Table8[Original],Table8[Clean],,0,1),"Unknown")</f>
        <v>Delivered</v>
      </c>
      <c r="U26">
        <v>3</v>
      </c>
      <c r="V26">
        <f>IF(ISNUMBER(Table1[[#This Row],[delivery_days]]),Table1[[#This Row],[delivery_days]],IFERROR(_xlfn.XLOOKUP(Table1[[#This Row],[delivery_days]],Table57[Original],Table57[Clean],,0,1),"Unknown"))</f>
        <v>3</v>
      </c>
      <c r="W26" t="s">
        <v>24</v>
      </c>
    </row>
    <row r="27" spans="1:23" x14ac:dyDescent="0.3">
      <c r="A27">
        <v>1025</v>
      </c>
      <c r="B27" t="str">
        <f>IF(ISBLANK(Table1[[#This Row],[order_id]]),"",IF(LEFT(Table1[[#This Row],[order_id]],3)="ORD",Table1[[#This Row],[order_id]],"ORD-" &amp; Table1[[#This Row],[order_id]]))</f>
        <v>ORD-1025</v>
      </c>
      <c r="C27" t="s">
        <v>97</v>
      </c>
      <c r="D27" s="1">
        <f>IFERROR(DATEVALUE(Table1[[#This Row],[order_date]]),"")</f>
        <v>45423</v>
      </c>
      <c r="F27" t="str">
        <f>IF(ISBLANK(Table1[[#This Row],[customer_name]]),"Unknown Customer",PROPER(SUBSTITUTE(Table1[[#This Row],[customer_name]],"Cust.","Customer")))</f>
        <v>Unknown Customer</v>
      </c>
      <c r="G27" t="s">
        <v>26</v>
      </c>
      <c r="H27" t="str">
        <f>IFERROR(_xlfn.XLOOKUP(Table1[[#This Row],[region]],Mappings!$C$3:$C$8,Mappings!$D$3:$D$8,,0,1),"Unknown")</f>
        <v>Asia</v>
      </c>
      <c r="I27" t="s">
        <v>14</v>
      </c>
      <c r="J27" t="str">
        <f>IFERROR(_xlfn.XLOOKUP(Table1[[#This Row],[sales_channel]],Table4[Original],Table4[Clean],,0,1),"Unknown")</f>
        <v>Online</v>
      </c>
      <c r="K27" t="s">
        <v>51</v>
      </c>
      <c r="L27" t="str">
        <f>IFERROR(_xlfn.XLOOKUP(Table1[[#This Row],[product]],Table3[Original],Table3[Product_clean],,0,1),"Unknown")</f>
        <v>Laptop</v>
      </c>
      <c r="M27" s="6" t="s">
        <v>83</v>
      </c>
      <c r="N27">
        <f>IF(ISNUMBER(Table1[[#This Row],[quantity]]),Table1[[#This Row],[quantity]],IFERROR(VLOOKUP(Table1[[#This Row],[quantity]],Table5[#All],2,FALSE),"Unknown"))</f>
        <v>2</v>
      </c>
      <c r="O27" t="s">
        <v>98</v>
      </c>
      <c r="P27">
        <f>IFERROR(VALUE(SUBSTITUTE(SUBSTITUTE(SUBSTITUTE(Table1[[#This Row],[revenue]],"EUR",""),"$",""),".",",")),"")</f>
        <v>671.36</v>
      </c>
      <c r="Q27" t="s">
        <v>55</v>
      </c>
      <c r="R27" t="str">
        <f>IF(OR(Table1[[#This Row],[currency]]="EUR",Table1[[#This Row],[currency]]="€"),"EUR",IF(OR(Table1[[#This Row],[currency]]="USD",Table1[[#This Row],[currency]]="$"),"USD","Unknown"))</f>
        <v>EUR</v>
      </c>
      <c r="S27" t="s">
        <v>30</v>
      </c>
      <c r="T27" t="str">
        <f>IFERROR(_xlfn.XLOOKUP(Table1[[#This Row],[order_status]],Table8[Original],Table8[Clean],,0,1),"Unknown")</f>
        <v>Delivered</v>
      </c>
      <c r="U27">
        <v>1</v>
      </c>
      <c r="V27">
        <f>IF(ISNUMBER(Table1[[#This Row],[delivery_days]]),Table1[[#This Row],[delivery_days]],IFERROR(_xlfn.XLOOKUP(Table1[[#This Row],[delivery_days]],Table57[Original],Table57[Clean],,0,1),"Unknown"))</f>
        <v>1</v>
      </c>
      <c r="W27" t="s">
        <v>24</v>
      </c>
    </row>
    <row r="28" spans="1:23" x14ac:dyDescent="0.3">
      <c r="A28">
        <v>1026</v>
      </c>
      <c r="B28" t="str">
        <f>IF(ISBLANK(Table1[[#This Row],[order_id]]),"",IF(LEFT(Table1[[#This Row],[order_id]],3)="ORD",Table1[[#This Row],[order_id]],"ORD-" &amp; Table1[[#This Row],[order_id]]))</f>
        <v>ORD-1026</v>
      </c>
      <c r="D28" s="1" t="str">
        <f>IFERROR(DATEVALUE(Table1[[#This Row],[order_date]]),"")</f>
        <v/>
      </c>
      <c r="F28" t="str">
        <f>IF(ISBLANK(Table1[[#This Row],[customer_name]]),"Unknown Customer",PROPER(SUBSTITUTE(Table1[[#This Row],[customer_name]],"Cust.","Customer")))</f>
        <v>Unknown Customer</v>
      </c>
      <c r="G28" t="s">
        <v>45</v>
      </c>
      <c r="H28" t="str">
        <f>IFERROR(_xlfn.XLOOKUP(Table1[[#This Row],[region]],Mappings!$C$3:$C$8,Mappings!$D$3:$D$8,,0,1),"Unknown")</f>
        <v>USA</v>
      </c>
      <c r="I28" t="s">
        <v>14</v>
      </c>
      <c r="J28" t="str">
        <f>IFERROR(_xlfn.XLOOKUP(Table1[[#This Row],[sales_channel]],Table4[Original],Table4[Clean],,0,1),"Unknown")</f>
        <v>Online</v>
      </c>
      <c r="K28" t="s">
        <v>51</v>
      </c>
      <c r="L28" t="str">
        <f>IFERROR(_xlfn.XLOOKUP(Table1[[#This Row],[product]],Table3[Original],Table3[Product_clean],,0,1),"Unknown")</f>
        <v>Laptop</v>
      </c>
      <c r="M28" s="6">
        <v>1</v>
      </c>
      <c r="N28">
        <f>IF(ISNUMBER(Table1[[#This Row],[quantity]]),Table1[[#This Row],[quantity]],IFERROR(VLOOKUP(Table1[[#This Row],[quantity]],Table5[#All],2,FALSE),"Unknown"))</f>
        <v>1</v>
      </c>
      <c r="O28" t="s">
        <v>99</v>
      </c>
      <c r="P28">
        <f>IFERROR(VALUE(SUBSTITUTE(SUBSTITUTE(SUBSTITUTE(Table1[[#This Row],[revenue]],"EUR",""),"$",""),".",",")),"")</f>
        <v>435.92</v>
      </c>
      <c r="Q28" t="s">
        <v>58</v>
      </c>
      <c r="R28" t="str">
        <f>IF(OR(Table1[[#This Row],[currency]]="EUR",Table1[[#This Row],[currency]]="€"),"EUR",IF(OR(Table1[[#This Row],[currency]]="USD",Table1[[#This Row],[currency]]="$"),"USD","Unknown"))</f>
        <v>USD</v>
      </c>
      <c r="S28" t="s">
        <v>18</v>
      </c>
      <c r="T28" t="str">
        <f>IFERROR(_xlfn.XLOOKUP(Table1[[#This Row],[order_status]],Table8[Original],Table8[Clean],,0,1),"Unknown")</f>
        <v>Pending</v>
      </c>
      <c r="U28">
        <v>1</v>
      </c>
      <c r="V28">
        <f>IF(ISNUMBER(Table1[[#This Row],[delivery_days]]),Table1[[#This Row],[delivery_days]],IFERROR(_xlfn.XLOOKUP(Table1[[#This Row],[delivery_days]],Table57[Original],Table57[Clean],,0,1),"Unknown"))</f>
        <v>1</v>
      </c>
      <c r="W28" t="s">
        <v>24</v>
      </c>
    </row>
    <row r="29" spans="1:23" x14ac:dyDescent="0.3">
      <c r="A29">
        <v>1027</v>
      </c>
      <c r="B29" t="str">
        <f>IF(ISBLANK(Table1[[#This Row],[order_id]]),"",IF(LEFT(Table1[[#This Row],[order_id]],3)="ORD",Table1[[#This Row],[order_id]],"ORD-" &amp; Table1[[#This Row],[order_id]]))</f>
        <v>ORD-1027</v>
      </c>
      <c r="C29" t="s">
        <v>100</v>
      </c>
      <c r="D29" s="1">
        <f>IFERROR(DATEVALUE(Table1[[#This Row],[order_date]]),"")</f>
        <v>45590</v>
      </c>
      <c r="E29" t="s">
        <v>101</v>
      </c>
      <c r="F29" t="str">
        <f>IF(ISBLANK(Table1[[#This Row],[customer_name]]),"Unknown Customer",PROPER(SUBSTITUTE(Table1[[#This Row],[customer_name]],"Cust.","Customer")))</f>
        <v>Customer 27</v>
      </c>
      <c r="G29" t="s">
        <v>26</v>
      </c>
      <c r="H29" t="str">
        <f>IFERROR(_xlfn.XLOOKUP(Table1[[#This Row],[region]],Mappings!$C$3:$C$8,Mappings!$D$3:$D$8,,0,1),"Unknown")</f>
        <v>Asia</v>
      </c>
      <c r="I29" t="s">
        <v>14</v>
      </c>
      <c r="J29" t="str">
        <f>IFERROR(_xlfn.XLOOKUP(Table1[[#This Row],[sales_channel]],Table4[Original],Table4[Clean],,0,1),"Unknown")</f>
        <v>Online</v>
      </c>
      <c r="K29" t="s">
        <v>102</v>
      </c>
      <c r="L29" t="str">
        <f>IFERROR(_xlfn.XLOOKUP(Table1[[#This Row],[product]],Table3[Original],Table3[Product_clean],,0,1),"Unknown")</f>
        <v>Phone</v>
      </c>
      <c r="M29" s="6">
        <v>2</v>
      </c>
      <c r="N29">
        <f>IF(ISNUMBER(Table1[[#This Row],[quantity]]),Table1[[#This Row],[quantity]],IFERROR(VLOOKUP(Table1[[#This Row],[quantity]],Table5[#All],2,FALSE),"Unknown"))</f>
        <v>2</v>
      </c>
      <c r="P29" t="str">
        <f>IFERROR(VALUE(SUBSTITUTE(SUBSTITUTE(SUBSTITUTE(Table1[[#This Row],[revenue]],"EUR",""),"$",""),".",",")),"")</f>
        <v/>
      </c>
      <c r="Q29" t="s">
        <v>58</v>
      </c>
      <c r="R29" t="str">
        <f>IF(OR(Table1[[#This Row],[currency]]="EUR",Table1[[#This Row],[currency]]="€"),"EUR",IF(OR(Table1[[#This Row],[currency]]="USD",Table1[[#This Row],[currency]]="$"),"USD","Unknown"))</f>
        <v>USD</v>
      </c>
      <c r="T29" t="str">
        <f>IFERROR(_xlfn.XLOOKUP(Table1[[#This Row],[order_status]],Table8[Original],Table8[Clean],,0,1),"Unknown")</f>
        <v>Unknown</v>
      </c>
      <c r="U29">
        <v>1</v>
      </c>
      <c r="V29">
        <f>IF(ISNUMBER(Table1[[#This Row],[delivery_days]]),Table1[[#This Row],[delivery_days]],IFERROR(_xlfn.XLOOKUP(Table1[[#This Row],[delivery_days]],Table57[Original],Table57[Clean],,0,1),"Unknown"))</f>
        <v>1</v>
      </c>
      <c r="W29" t="s">
        <v>24</v>
      </c>
    </row>
    <row r="30" spans="1:23" x14ac:dyDescent="0.3">
      <c r="B30" t="str">
        <f>IF(ISBLANK(Table1[[#This Row],[order_id]]),"",IF(LEFT(Table1[[#This Row],[order_id]],3)="ORD",Table1[[#This Row],[order_id]],"ORD-" &amp; Table1[[#This Row],[order_id]]))</f>
        <v/>
      </c>
      <c r="C30" t="s">
        <v>103</v>
      </c>
      <c r="D30" s="1">
        <f>IFERROR(DATEVALUE(Table1[[#This Row],[order_date]]),"")</f>
        <v>45691</v>
      </c>
      <c r="E30" t="s">
        <v>104</v>
      </c>
      <c r="F30" t="str">
        <f>IF(ISBLANK(Table1[[#This Row],[customer_name]]),"Unknown Customer",PROPER(SUBSTITUTE(Table1[[#This Row],[customer_name]],"Cust.","Customer")))</f>
        <v>Customer 28</v>
      </c>
      <c r="H30" t="str">
        <f>IFERROR(_xlfn.XLOOKUP(Table1[[#This Row],[region]],Mappings!$C$3:$C$8,Mappings!$D$3:$D$8,,0,1),"Unknown")</f>
        <v>Unknown</v>
      </c>
      <c r="I30" t="s">
        <v>27</v>
      </c>
      <c r="J30" t="str">
        <f>IFERROR(_xlfn.XLOOKUP(Table1[[#This Row],[sales_channel]],Table4[Original],Table4[Clean],,0,1),"Unknown")</f>
        <v>Online</v>
      </c>
      <c r="L30" t="str">
        <f>IFERROR(_xlfn.XLOOKUP(Table1[[#This Row],[product]],Table3[Original],Table3[Product_clean],,0,1),"Unknown")</f>
        <v>Unknown</v>
      </c>
      <c r="M30" s="6">
        <v>2</v>
      </c>
      <c r="N30">
        <f>IF(ISNUMBER(Table1[[#This Row],[quantity]]),Table1[[#This Row],[quantity]],IFERROR(VLOOKUP(Table1[[#This Row],[quantity]],Table5[#All],2,FALSE),"Unknown"))</f>
        <v>2</v>
      </c>
      <c r="P30" t="str">
        <f>IFERROR(VALUE(SUBSTITUTE(SUBSTITUTE(SUBSTITUTE(Table1[[#This Row],[revenue]],"EUR",""),"$",""),".",",")),"")</f>
        <v/>
      </c>
      <c r="Q30" t="s">
        <v>22</v>
      </c>
      <c r="R30" t="str">
        <f>IF(OR(Table1[[#This Row],[currency]]="EUR",Table1[[#This Row],[currency]]="€"),"EUR",IF(OR(Table1[[#This Row],[currency]]="USD",Table1[[#This Row],[currency]]="$"),"USD","Unknown"))</f>
        <v>USD</v>
      </c>
      <c r="S30" t="s">
        <v>30</v>
      </c>
      <c r="T30" t="str">
        <f>IFERROR(_xlfn.XLOOKUP(Table1[[#This Row],[order_status]],Table8[Original],Table8[Clean],,0,1),"Unknown")</f>
        <v>Delivered</v>
      </c>
      <c r="U30">
        <v>2</v>
      </c>
      <c r="V30">
        <f>IF(ISNUMBER(Table1[[#This Row],[delivery_days]]),Table1[[#This Row],[delivery_days]],IFERROR(_xlfn.XLOOKUP(Table1[[#This Row],[delivery_days]],Table57[Original],Table57[Clean],,0,1),"Unknown"))</f>
        <v>2</v>
      </c>
      <c r="W30" t="s">
        <v>24</v>
      </c>
    </row>
    <row r="31" spans="1:23" x14ac:dyDescent="0.3">
      <c r="A31" t="s">
        <v>105</v>
      </c>
      <c r="B31" t="str">
        <f>IF(ISBLANK(Table1[[#This Row],[order_id]]),"",IF(LEFT(Table1[[#This Row],[order_id]],3)="ORD",Table1[[#This Row],[order_id]],"ORD-" &amp; Table1[[#This Row],[order_id]]))</f>
        <v>ORD-1029</v>
      </c>
      <c r="C31" t="s">
        <v>106</v>
      </c>
      <c r="D31" s="1">
        <f>IFERROR(DATEVALUE(Table1[[#This Row],[order_date]]),"")</f>
        <v>45692</v>
      </c>
      <c r="E31" t="s">
        <v>107</v>
      </c>
      <c r="F31" t="str">
        <f>IF(ISBLANK(Table1[[#This Row],[customer_name]]),"Unknown Customer",PROPER(SUBSTITUTE(Table1[[#This Row],[customer_name]],"Cust.","Customer")))</f>
        <v>Customer 29</v>
      </c>
      <c r="G31" t="s">
        <v>32</v>
      </c>
      <c r="H31" t="str">
        <f>IFERROR(_xlfn.XLOOKUP(Table1[[#This Row],[region]],Mappings!$C$3:$C$8,Mappings!$D$3:$D$8,,0,1),"Unknown")</f>
        <v>Europe</v>
      </c>
      <c r="I31" t="s">
        <v>14</v>
      </c>
      <c r="J31" t="str">
        <f>IFERROR(_xlfn.XLOOKUP(Table1[[#This Row],[sales_channel]],Table4[Original],Table4[Clean],,0,1),"Unknown")</f>
        <v>Online</v>
      </c>
      <c r="L31" t="str">
        <f>IFERROR(_xlfn.XLOOKUP(Table1[[#This Row],[product]],Table3[Original],Table3[Product_clean],,0,1),"Unknown")</f>
        <v>Unknown</v>
      </c>
      <c r="M31" s="6" t="s">
        <v>83</v>
      </c>
      <c r="N31">
        <f>IF(ISNUMBER(Table1[[#This Row],[quantity]]),Table1[[#This Row],[quantity]],IFERROR(VLOOKUP(Table1[[#This Row],[quantity]],Table5[#All],2,FALSE),"Unknown"))</f>
        <v>2</v>
      </c>
      <c r="O31" t="s">
        <v>108</v>
      </c>
      <c r="P31">
        <f>IFERROR(VALUE(SUBSTITUTE(SUBSTITUTE(SUBSTITUTE(Table1[[#This Row],[revenue]],"EUR",""),"$",""),".",",")),"")</f>
        <v>2795.91</v>
      </c>
      <c r="Q31" t="s">
        <v>58</v>
      </c>
      <c r="R31" t="str">
        <f>IF(OR(Table1[[#This Row],[currency]]="EUR",Table1[[#This Row],[currency]]="€"),"EUR",IF(OR(Table1[[#This Row],[currency]]="USD",Table1[[#This Row],[currency]]="$"),"USD","Unknown"))</f>
        <v>USD</v>
      </c>
      <c r="S31" t="s">
        <v>23</v>
      </c>
      <c r="T31" t="str">
        <f>IFERROR(_xlfn.XLOOKUP(Table1[[#This Row],[order_status]],Table8[Original],Table8[Clean],,0,1),"Unknown")</f>
        <v>Delivered</v>
      </c>
      <c r="U31">
        <v>5</v>
      </c>
      <c r="V31">
        <f>IF(ISNUMBER(Table1[[#This Row],[delivery_days]]),Table1[[#This Row],[delivery_days]],IFERROR(_xlfn.XLOOKUP(Table1[[#This Row],[delivery_days]],Table57[Original],Table57[Clean],,0,1),"Unknown"))</f>
        <v>5</v>
      </c>
      <c r="W31" t="s">
        <v>24</v>
      </c>
    </row>
    <row r="32" spans="1:23" x14ac:dyDescent="0.3">
      <c r="A32">
        <v>1030</v>
      </c>
      <c r="B32" t="str">
        <f>IF(ISBLANK(Table1[[#This Row],[order_id]]),"",IF(LEFT(Table1[[#This Row],[order_id]],3)="ORD",Table1[[#This Row],[order_id]],"ORD-" &amp; Table1[[#This Row],[order_id]]))</f>
        <v>ORD-1030</v>
      </c>
      <c r="C32" t="s">
        <v>109</v>
      </c>
      <c r="D32" s="1">
        <f>IFERROR(DATEVALUE(Table1[[#This Row],[order_date]]),"")</f>
        <v>45448</v>
      </c>
      <c r="E32" t="s">
        <v>110</v>
      </c>
      <c r="F32" t="str">
        <f>IF(ISBLANK(Table1[[#This Row],[customer_name]]),"Unknown Customer",PROPER(SUBSTITUTE(Table1[[#This Row],[customer_name]],"Cust.","Customer")))</f>
        <v>Customer 30</v>
      </c>
      <c r="G32" t="s">
        <v>32</v>
      </c>
      <c r="H32" t="str">
        <f>IFERROR(_xlfn.XLOOKUP(Table1[[#This Row],[region]],Mappings!$C$3:$C$8,Mappings!$D$3:$D$8,,0,1),"Unknown")</f>
        <v>Europe</v>
      </c>
      <c r="I32" t="s">
        <v>50</v>
      </c>
      <c r="J32" t="str">
        <f>IFERROR(_xlfn.XLOOKUP(Table1[[#This Row],[sales_channel]],Table4[Original],Table4[Clean],,0,1),"Unknown")</f>
        <v>Mobile</v>
      </c>
      <c r="K32" t="s">
        <v>102</v>
      </c>
      <c r="L32" t="str">
        <f>IFERROR(_xlfn.XLOOKUP(Table1[[#This Row],[product]],Table3[Original],Table3[Product_clean],,0,1),"Unknown")</f>
        <v>Phone</v>
      </c>
      <c r="M32" s="6">
        <v>1</v>
      </c>
      <c r="N32">
        <f>IF(ISNUMBER(Table1[[#This Row],[quantity]]),Table1[[#This Row],[quantity]],IFERROR(VLOOKUP(Table1[[#This Row],[quantity]],Table5[#All],2,FALSE),"Unknown"))</f>
        <v>1</v>
      </c>
      <c r="O32" t="s">
        <v>111</v>
      </c>
      <c r="P32">
        <f>IFERROR(VALUE(SUBSTITUTE(SUBSTITUTE(SUBSTITUTE(Table1[[#This Row],[revenue]],"EUR",""),"$",""),".",",")),"")</f>
        <v>2470.58</v>
      </c>
      <c r="Q32" t="s">
        <v>55</v>
      </c>
      <c r="R32" t="str">
        <f>IF(OR(Table1[[#This Row],[currency]]="EUR",Table1[[#This Row],[currency]]="€"),"EUR",IF(OR(Table1[[#This Row],[currency]]="USD",Table1[[#This Row],[currency]]="$"),"USD","Unknown"))</f>
        <v>EUR</v>
      </c>
      <c r="S32" t="s">
        <v>35</v>
      </c>
      <c r="T32" t="str">
        <f>IFERROR(_xlfn.XLOOKUP(Table1[[#This Row],[order_status]],Table8[Original],Table8[Clean],,0,1),"Unknown")</f>
        <v>Returned</v>
      </c>
      <c r="V32" t="str">
        <f>IF(ISNUMBER(Table1[[#This Row],[delivery_days]]),Table1[[#This Row],[delivery_days]],IFERROR(_xlfn.XLOOKUP(Table1[[#This Row],[delivery_days]],Table57[Original],Table57[Clean],,0,1),"Unknown"))</f>
        <v>Unknown</v>
      </c>
    </row>
    <row r="33" spans="1:23" x14ac:dyDescent="0.3">
      <c r="A33">
        <v>1031</v>
      </c>
      <c r="B33" t="str">
        <f>IF(ISBLANK(Table1[[#This Row],[order_id]]),"",IF(LEFT(Table1[[#This Row],[order_id]],3)="ORD",Table1[[#This Row],[order_id]],"ORD-" &amp; Table1[[#This Row],[order_id]]))</f>
        <v>ORD-1031</v>
      </c>
      <c r="C33" t="s">
        <v>112</v>
      </c>
      <c r="D33" s="1">
        <f>IFERROR(DATEVALUE(Table1[[#This Row],[order_date]]),"")</f>
        <v>45639</v>
      </c>
      <c r="E33" t="s">
        <v>113</v>
      </c>
      <c r="F33" t="str">
        <f>IF(ISBLANK(Table1[[#This Row],[customer_name]]),"Unknown Customer",PROPER(SUBSTITUTE(Table1[[#This Row],[customer_name]],"Cust.","Customer")))</f>
        <v>Customer 31</v>
      </c>
      <c r="G33" t="s">
        <v>54</v>
      </c>
      <c r="H33" t="str">
        <f>IFERROR(_xlfn.XLOOKUP(Table1[[#This Row],[region]],Mappings!$C$3:$C$8,Mappings!$D$3:$D$8,,0,1),"Unknown")</f>
        <v>USA</v>
      </c>
      <c r="I33" t="s">
        <v>68</v>
      </c>
      <c r="J33" t="str">
        <f>IFERROR(_xlfn.XLOOKUP(Table1[[#This Row],[sales_channel]],Table4[Original],Table4[Clean],,0,1),"Unknown")</f>
        <v>Online</v>
      </c>
      <c r="K33" t="s">
        <v>102</v>
      </c>
      <c r="L33" t="str">
        <f>IFERROR(_xlfn.XLOOKUP(Table1[[#This Row],[product]],Table3[Original],Table3[Product_clean],,0,1),"Unknown")</f>
        <v>Phone</v>
      </c>
      <c r="M33" s="6">
        <v>1</v>
      </c>
      <c r="N33">
        <f>IF(ISNUMBER(Table1[[#This Row],[quantity]]),Table1[[#This Row],[quantity]],IFERROR(VLOOKUP(Table1[[#This Row],[quantity]],Table5[#All],2,FALSE),"Unknown"))</f>
        <v>1</v>
      </c>
      <c r="O33" t="s">
        <v>114</v>
      </c>
      <c r="P33">
        <f>IFERROR(VALUE(SUBSTITUTE(SUBSTITUTE(SUBSTITUTE(Table1[[#This Row],[revenue]],"EUR",""),"$",""),".",",")),"")</f>
        <v>2944.39</v>
      </c>
      <c r="Q33" t="s">
        <v>17</v>
      </c>
      <c r="R33" t="str">
        <f>IF(OR(Table1[[#This Row],[currency]]="EUR",Table1[[#This Row],[currency]]="€"),"EUR",IF(OR(Table1[[#This Row],[currency]]="USD",Table1[[#This Row],[currency]]="$"),"USD","Unknown"))</f>
        <v>EUR</v>
      </c>
      <c r="S33" t="s">
        <v>18</v>
      </c>
      <c r="T33" t="str">
        <f>IFERROR(_xlfn.XLOOKUP(Table1[[#This Row],[order_status]],Table8[Original],Table8[Clean],,0,1),"Unknown")</f>
        <v>Pending</v>
      </c>
      <c r="U33">
        <v>5</v>
      </c>
      <c r="V33">
        <f>IF(ISNUMBER(Table1[[#This Row],[delivery_days]]),Table1[[#This Row],[delivery_days]],IFERROR(_xlfn.XLOOKUP(Table1[[#This Row],[delivery_days]],Table57[Original],Table57[Clean],,0,1),"Unknown"))</f>
        <v>5</v>
      </c>
      <c r="W33" t="s">
        <v>24</v>
      </c>
    </row>
    <row r="34" spans="1:23" x14ac:dyDescent="0.3">
      <c r="B34" t="str">
        <f>IF(ISBLANK(Table1[[#This Row],[order_id]]),"",IF(LEFT(Table1[[#This Row],[order_id]],3)="ORD",Table1[[#This Row],[order_id]],"ORD-" &amp; Table1[[#This Row],[order_id]]))</f>
        <v/>
      </c>
      <c r="C34" t="s">
        <v>115</v>
      </c>
      <c r="D34" s="1">
        <f>IFERROR(DATEVALUE(Table1[[#This Row],[order_date]]),"")</f>
        <v>45665</v>
      </c>
      <c r="F34" t="str">
        <f>IF(ISBLANK(Table1[[#This Row],[customer_name]]),"Unknown Customer",PROPER(SUBSTITUTE(Table1[[#This Row],[customer_name]],"Cust.","Customer")))</f>
        <v>Unknown Customer</v>
      </c>
      <c r="G34" t="s">
        <v>45</v>
      </c>
      <c r="H34" t="str">
        <f>IFERROR(_xlfn.XLOOKUP(Table1[[#This Row],[region]],Mappings!$C$3:$C$8,Mappings!$D$3:$D$8,,0,1),"Unknown")</f>
        <v>USA</v>
      </c>
      <c r="I34" t="s">
        <v>27</v>
      </c>
      <c r="J34" t="str">
        <f>IFERROR(_xlfn.XLOOKUP(Table1[[#This Row],[sales_channel]],Table4[Original],Table4[Clean],,0,1),"Unknown")</f>
        <v>Online</v>
      </c>
      <c r="K34" t="s">
        <v>102</v>
      </c>
      <c r="L34" t="str">
        <f>IFERROR(_xlfn.XLOOKUP(Table1[[#This Row],[product]],Table3[Original],Table3[Product_clean],,0,1),"Unknown")</f>
        <v>Phone</v>
      </c>
      <c r="M34" s="6">
        <v>1</v>
      </c>
      <c r="N34">
        <f>IF(ISNUMBER(Table1[[#This Row],[quantity]]),Table1[[#This Row],[quantity]],IFERROR(VLOOKUP(Table1[[#This Row],[quantity]],Table5[#All],2,FALSE),"Unknown"))</f>
        <v>1</v>
      </c>
      <c r="P34" t="str">
        <f>IFERROR(VALUE(SUBSTITUTE(SUBSTITUTE(SUBSTITUTE(Table1[[#This Row],[revenue]],"EUR",""),"$",""),".",",")),"")</f>
        <v/>
      </c>
      <c r="Q34" t="s">
        <v>22</v>
      </c>
      <c r="R34" t="str">
        <f>IF(OR(Table1[[#This Row],[currency]]="EUR",Table1[[#This Row],[currency]]="€"),"EUR",IF(OR(Table1[[#This Row],[currency]]="USD",Table1[[#This Row],[currency]]="$"),"USD","Unknown"))</f>
        <v>USD</v>
      </c>
      <c r="S34" t="s">
        <v>30</v>
      </c>
      <c r="T34" t="str">
        <f>IFERROR(_xlfn.XLOOKUP(Table1[[#This Row],[order_status]],Table8[Original],Table8[Clean],,0,1),"Unknown")</f>
        <v>Delivered</v>
      </c>
      <c r="U34" t="s">
        <v>36</v>
      </c>
      <c r="V34">
        <f>IF(ISNUMBER(Table1[[#This Row],[delivery_days]]),Table1[[#This Row],[delivery_days]],IFERROR(_xlfn.XLOOKUP(Table1[[#This Row],[delivery_days]],Table57[Original],Table57[Clean],,0,1),"Unknown"))</f>
        <v>5</v>
      </c>
      <c r="W34" t="s">
        <v>37</v>
      </c>
    </row>
    <row r="35" spans="1:23" x14ac:dyDescent="0.3">
      <c r="B35" t="str">
        <f>IF(ISBLANK(Table1[[#This Row],[order_id]]),"",IF(LEFT(Table1[[#This Row],[order_id]],3)="ORD",Table1[[#This Row],[order_id]],"ORD-" &amp; Table1[[#This Row],[order_id]]))</f>
        <v/>
      </c>
      <c r="C35" t="s">
        <v>116</v>
      </c>
      <c r="D35" s="1">
        <f>IFERROR(DATEVALUE(Table1[[#This Row],[order_date]]),"")</f>
        <v>45419</v>
      </c>
      <c r="E35" t="s">
        <v>117</v>
      </c>
      <c r="F35" t="str">
        <f>IF(ISBLANK(Table1[[#This Row],[customer_name]]),"Unknown Customer",PROPER(SUBSTITUTE(Table1[[#This Row],[customer_name]],"Cust.","Customer")))</f>
        <v>Customer 33</v>
      </c>
      <c r="H35" t="str">
        <f>IFERROR(_xlfn.XLOOKUP(Table1[[#This Row],[region]],Mappings!$C$3:$C$8,Mappings!$D$3:$D$8,,0,1),"Unknown")</f>
        <v>Unknown</v>
      </c>
      <c r="I35" t="s">
        <v>50</v>
      </c>
      <c r="J35" t="str">
        <f>IFERROR(_xlfn.XLOOKUP(Table1[[#This Row],[sales_channel]],Table4[Original],Table4[Clean],,0,1),"Unknown")</f>
        <v>Mobile</v>
      </c>
      <c r="K35" t="s">
        <v>33</v>
      </c>
      <c r="L35" t="str">
        <f>IFERROR(_xlfn.XLOOKUP(Table1[[#This Row],[product]],Table3[Original],Table3[Product_clean],,0,1),"Unknown")</f>
        <v>Tablet</v>
      </c>
      <c r="M35" s="6">
        <v>3</v>
      </c>
      <c r="N35">
        <f>IF(ISNUMBER(Table1[[#This Row],[quantity]]),Table1[[#This Row],[quantity]],IFERROR(VLOOKUP(Table1[[#This Row],[quantity]],Table5[#All],2,FALSE),"Unknown"))</f>
        <v>3</v>
      </c>
      <c r="O35" t="s">
        <v>118</v>
      </c>
      <c r="P35">
        <f>IFERROR(VALUE(SUBSTITUTE(SUBSTITUTE(SUBSTITUTE(Table1[[#This Row],[revenue]],"EUR",""),"$",""),".",",")),"")</f>
        <v>1322.33</v>
      </c>
      <c r="Q35" t="s">
        <v>22</v>
      </c>
      <c r="R35" t="str">
        <f>IF(OR(Table1[[#This Row],[currency]]="EUR",Table1[[#This Row],[currency]]="€"),"EUR",IF(OR(Table1[[#This Row],[currency]]="USD",Table1[[#This Row],[currency]]="$"),"USD","Unknown"))</f>
        <v>USD</v>
      </c>
      <c r="S35" t="s">
        <v>35</v>
      </c>
      <c r="T35" t="str">
        <f>IFERROR(_xlfn.XLOOKUP(Table1[[#This Row],[order_status]],Table8[Original],Table8[Clean],,0,1),"Unknown")</f>
        <v>Returned</v>
      </c>
      <c r="U35">
        <v>5</v>
      </c>
      <c r="V35">
        <f>IF(ISNUMBER(Table1[[#This Row],[delivery_days]]),Table1[[#This Row],[delivery_days]],IFERROR(_xlfn.XLOOKUP(Table1[[#This Row],[delivery_days]],Table57[Original],Table57[Clean],,0,1),"Unknown"))</f>
        <v>5</v>
      </c>
      <c r="W35" t="s">
        <v>24</v>
      </c>
    </row>
    <row r="36" spans="1:23" x14ac:dyDescent="0.3">
      <c r="B36" t="str">
        <f>IF(ISBLANK(Table1[[#This Row],[order_id]]),"",IF(LEFT(Table1[[#This Row],[order_id]],3)="ORD",Table1[[#This Row],[order_id]],"ORD-" &amp; Table1[[#This Row],[order_id]]))</f>
        <v/>
      </c>
      <c r="D36" s="1" t="str">
        <f>IFERROR(DATEVALUE(Table1[[#This Row],[order_date]]),"")</f>
        <v/>
      </c>
      <c r="E36" t="s">
        <v>119</v>
      </c>
      <c r="F36" t="str">
        <f>IF(ISBLANK(Table1[[#This Row],[customer_name]]),"Unknown Customer",PROPER(SUBSTITUTE(Table1[[#This Row],[customer_name]],"Cust.","Customer")))</f>
        <v>Customer 34</v>
      </c>
      <c r="G36" t="s">
        <v>45</v>
      </c>
      <c r="H36" t="str">
        <f>IFERROR(_xlfn.XLOOKUP(Table1[[#This Row],[region]],Mappings!$C$3:$C$8,Mappings!$D$3:$D$8,,0,1),"Unknown")</f>
        <v>USA</v>
      </c>
      <c r="I36" t="s">
        <v>68</v>
      </c>
      <c r="J36" t="str">
        <f>IFERROR(_xlfn.XLOOKUP(Table1[[#This Row],[sales_channel]],Table4[Original],Table4[Clean],,0,1),"Unknown")</f>
        <v>Online</v>
      </c>
      <c r="K36" t="s">
        <v>102</v>
      </c>
      <c r="L36" t="str">
        <f>IFERROR(_xlfn.XLOOKUP(Table1[[#This Row],[product]],Table3[Original],Table3[Product_clean],,0,1),"Unknown")</f>
        <v>Phone</v>
      </c>
      <c r="M36" s="6" t="s">
        <v>83</v>
      </c>
      <c r="N36">
        <f>IF(ISNUMBER(Table1[[#This Row],[quantity]]),Table1[[#This Row],[quantity]],IFERROR(VLOOKUP(Table1[[#This Row],[quantity]],Table5[#All],2,FALSE),"Unknown"))</f>
        <v>2</v>
      </c>
      <c r="P36" t="str">
        <f>IFERROR(VALUE(SUBSTITUTE(SUBSTITUTE(SUBSTITUTE(Table1[[#This Row],[revenue]],"EUR",""),"$",""),".",",")),"")</f>
        <v/>
      </c>
      <c r="R36" t="str">
        <f>IF(OR(Table1[[#This Row],[currency]]="EUR",Table1[[#This Row],[currency]]="€"),"EUR",IF(OR(Table1[[#This Row],[currency]]="USD",Table1[[#This Row],[currency]]="$"),"USD","Unknown"))</f>
        <v>Unknown</v>
      </c>
      <c r="S36" t="s">
        <v>30</v>
      </c>
      <c r="T36" t="str">
        <f>IFERROR(_xlfn.XLOOKUP(Table1[[#This Row],[order_status]],Table8[Original],Table8[Clean],,0,1),"Unknown")</f>
        <v>Delivered</v>
      </c>
      <c r="U36">
        <v>3</v>
      </c>
      <c r="V36">
        <f>IF(ISNUMBER(Table1[[#This Row],[delivery_days]]),Table1[[#This Row],[delivery_days]],IFERROR(_xlfn.XLOOKUP(Table1[[#This Row],[delivery_days]],Table57[Original],Table57[Clean],,0,1),"Unknown"))</f>
        <v>3</v>
      </c>
      <c r="W36" t="s">
        <v>24</v>
      </c>
    </row>
    <row r="37" spans="1:23" x14ac:dyDescent="0.3">
      <c r="A37" t="s">
        <v>120</v>
      </c>
      <c r="B37" t="str">
        <f>IF(ISBLANK(Table1[[#This Row],[order_id]]),"",IF(LEFT(Table1[[#This Row],[order_id]],3)="ORD",Table1[[#This Row],[order_id]],"ORD-" &amp; Table1[[#This Row],[order_id]]))</f>
        <v>ORD-1035</v>
      </c>
      <c r="D37" s="1" t="str">
        <f>IFERROR(DATEVALUE(Table1[[#This Row],[order_date]]),"")</f>
        <v/>
      </c>
      <c r="F37" t="str">
        <f>IF(ISBLANK(Table1[[#This Row],[customer_name]]),"Unknown Customer",PROPER(SUBSTITUTE(Table1[[#This Row],[customer_name]],"Cust.","Customer")))</f>
        <v>Unknown Customer</v>
      </c>
      <c r="H37" t="str">
        <f>IFERROR(_xlfn.XLOOKUP(Table1[[#This Row],[region]],Mappings!$C$3:$C$8,Mappings!$D$3:$D$8,,0,1),"Unknown")</f>
        <v>Unknown</v>
      </c>
      <c r="I37" t="s">
        <v>27</v>
      </c>
      <c r="J37" t="str">
        <f>IFERROR(_xlfn.XLOOKUP(Table1[[#This Row],[sales_channel]],Table4[Original],Table4[Clean],,0,1),"Unknown")</f>
        <v>Online</v>
      </c>
      <c r="K37" t="s">
        <v>33</v>
      </c>
      <c r="L37" t="str">
        <f>IFERROR(_xlfn.XLOOKUP(Table1[[#This Row],[product]],Table3[Original],Table3[Product_clean],,0,1),"Unknown")</f>
        <v>Tablet</v>
      </c>
      <c r="M37" s="6" t="s">
        <v>83</v>
      </c>
      <c r="N37">
        <f>IF(ISNUMBER(Table1[[#This Row],[quantity]]),Table1[[#This Row],[quantity]],IFERROR(VLOOKUP(Table1[[#This Row],[quantity]],Table5[#All],2,FALSE),"Unknown"))</f>
        <v>2</v>
      </c>
      <c r="O37" t="s">
        <v>121</v>
      </c>
      <c r="P37">
        <f>IFERROR(VALUE(SUBSTITUTE(SUBSTITUTE(SUBSTITUTE(Table1[[#This Row],[revenue]],"EUR",""),"$",""),".",",")),"")</f>
        <v>1318.17</v>
      </c>
      <c r="Q37" t="s">
        <v>58</v>
      </c>
      <c r="R37" t="str">
        <f>IF(OR(Table1[[#This Row],[currency]]="EUR",Table1[[#This Row],[currency]]="€"),"EUR",IF(OR(Table1[[#This Row],[currency]]="USD",Table1[[#This Row],[currency]]="$"),"USD","Unknown"))</f>
        <v>USD</v>
      </c>
      <c r="T37" t="str">
        <f>IFERROR(_xlfn.XLOOKUP(Table1[[#This Row],[order_status]],Table8[Original],Table8[Clean],,0,1),"Unknown")</f>
        <v>Unknown</v>
      </c>
      <c r="U37">
        <v>1</v>
      </c>
      <c r="V37">
        <f>IF(ISNUMBER(Table1[[#This Row],[delivery_days]]),Table1[[#This Row],[delivery_days]],IFERROR(_xlfn.XLOOKUP(Table1[[#This Row],[delivery_days]],Table57[Original],Table57[Clean],,0,1),"Unknown"))</f>
        <v>1</v>
      </c>
      <c r="W37" t="s">
        <v>24</v>
      </c>
    </row>
    <row r="38" spans="1:23" x14ac:dyDescent="0.3">
      <c r="A38">
        <v>1036</v>
      </c>
      <c r="B38" t="str">
        <f>IF(ISBLANK(Table1[[#This Row],[order_id]]),"",IF(LEFT(Table1[[#This Row],[order_id]],3)="ORD",Table1[[#This Row],[order_id]],"ORD-" &amp; Table1[[#This Row],[order_id]]))</f>
        <v>ORD-1036</v>
      </c>
      <c r="C38" t="s">
        <v>122</v>
      </c>
      <c r="D38" s="1">
        <f>IFERROR(DATEVALUE(Table1[[#This Row],[order_date]]),"")</f>
        <v>45555</v>
      </c>
      <c r="E38" t="s">
        <v>123</v>
      </c>
      <c r="F38" t="str">
        <f>IF(ISBLANK(Table1[[#This Row],[customer_name]]),"Unknown Customer",PROPER(SUBSTITUTE(Table1[[#This Row],[customer_name]],"Cust.","Customer")))</f>
        <v>Customer 36</v>
      </c>
      <c r="G38" t="s">
        <v>54</v>
      </c>
      <c r="H38" t="str">
        <f>IFERROR(_xlfn.XLOOKUP(Table1[[#This Row],[region]],Mappings!$C$3:$C$8,Mappings!$D$3:$D$8,,0,1),"Unknown")</f>
        <v>USA</v>
      </c>
      <c r="I38" t="s">
        <v>27</v>
      </c>
      <c r="J38" t="str">
        <f>IFERROR(_xlfn.XLOOKUP(Table1[[#This Row],[sales_channel]],Table4[Original],Table4[Clean],,0,1),"Unknown")</f>
        <v>Online</v>
      </c>
      <c r="K38" t="s">
        <v>28</v>
      </c>
      <c r="L38" t="str">
        <f>IFERROR(_xlfn.XLOOKUP(Table1[[#This Row],[product]],Table3[Original],Table3[Product_clean],,0,1),"Unknown")</f>
        <v>Laptop</v>
      </c>
      <c r="M38" s="6">
        <v>1</v>
      </c>
      <c r="N38">
        <f>IF(ISNUMBER(Table1[[#This Row],[quantity]]),Table1[[#This Row],[quantity]],IFERROR(VLOOKUP(Table1[[#This Row],[quantity]],Table5[#All],2,FALSE),"Unknown"))</f>
        <v>1</v>
      </c>
      <c r="O38" t="s">
        <v>124</v>
      </c>
      <c r="P38">
        <f>IFERROR(VALUE(SUBSTITUTE(SUBSTITUTE(SUBSTITUTE(Table1[[#This Row],[revenue]],"EUR",""),"$",""),".",",")),"")</f>
        <v>2008.37</v>
      </c>
      <c r="Q38" t="s">
        <v>17</v>
      </c>
      <c r="R38" t="str">
        <f>IF(OR(Table1[[#This Row],[currency]]="EUR",Table1[[#This Row],[currency]]="€"),"EUR",IF(OR(Table1[[#This Row],[currency]]="USD",Table1[[#This Row],[currency]]="$"),"USD","Unknown"))</f>
        <v>EUR</v>
      </c>
      <c r="S38" t="s">
        <v>23</v>
      </c>
      <c r="T38" t="str">
        <f>IFERROR(_xlfn.XLOOKUP(Table1[[#This Row],[order_status]],Table8[Original],Table8[Clean],,0,1),"Unknown")</f>
        <v>Delivered</v>
      </c>
      <c r="U38">
        <v>5</v>
      </c>
      <c r="V38">
        <f>IF(ISNUMBER(Table1[[#This Row],[delivery_days]]),Table1[[#This Row],[delivery_days]],IFERROR(_xlfn.XLOOKUP(Table1[[#This Row],[delivery_days]],Table57[Original],Table57[Clean],,0,1),"Unknown"))</f>
        <v>5</v>
      </c>
    </row>
    <row r="39" spans="1:23" x14ac:dyDescent="0.3">
      <c r="B39" t="str">
        <f>IF(ISBLANK(Table1[[#This Row],[order_id]]),"",IF(LEFT(Table1[[#This Row],[order_id]],3)="ORD",Table1[[#This Row],[order_id]],"ORD-" &amp; Table1[[#This Row],[order_id]]))</f>
        <v/>
      </c>
      <c r="D39" s="1" t="str">
        <f>IFERROR(DATEVALUE(Table1[[#This Row],[order_date]]),"")</f>
        <v/>
      </c>
      <c r="F39" t="str">
        <f>IF(ISBLANK(Table1[[#This Row],[customer_name]]),"Unknown Customer",PROPER(SUBSTITUTE(Table1[[#This Row],[customer_name]],"Cust.","Customer")))</f>
        <v>Unknown Customer</v>
      </c>
      <c r="G39" t="s">
        <v>32</v>
      </c>
      <c r="H39" t="str">
        <f>IFERROR(_xlfn.XLOOKUP(Table1[[#This Row],[region]],Mappings!$C$3:$C$8,Mappings!$D$3:$D$8,,0,1),"Unknown")</f>
        <v>Europe</v>
      </c>
      <c r="I39" t="s">
        <v>27</v>
      </c>
      <c r="J39" t="str">
        <f>IFERROR(_xlfn.XLOOKUP(Table1[[#This Row],[sales_channel]],Table4[Original],Table4[Clean],,0,1),"Unknown")</f>
        <v>Online</v>
      </c>
      <c r="K39" t="s">
        <v>28</v>
      </c>
      <c r="L39" t="str">
        <f>IFERROR(_xlfn.XLOOKUP(Table1[[#This Row],[product]],Table3[Original],Table3[Product_clean],,0,1),"Unknown")</f>
        <v>Laptop</v>
      </c>
      <c r="M39" s="6">
        <v>1</v>
      </c>
      <c r="N39">
        <f>IF(ISNUMBER(Table1[[#This Row],[quantity]]),Table1[[#This Row],[quantity]],IFERROR(VLOOKUP(Table1[[#This Row],[quantity]],Table5[#All],2,FALSE),"Unknown"))</f>
        <v>1</v>
      </c>
      <c r="O39" t="s">
        <v>125</v>
      </c>
      <c r="P39">
        <f>IFERROR(VALUE(SUBSTITUTE(SUBSTITUTE(SUBSTITUTE(Table1[[#This Row],[revenue]],"EUR",""),"$",""),".",",")),"")</f>
        <v>1272.5999999999999</v>
      </c>
      <c r="Q39" t="s">
        <v>17</v>
      </c>
      <c r="R39" t="str">
        <f>IF(OR(Table1[[#This Row],[currency]]="EUR",Table1[[#This Row],[currency]]="€"),"EUR",IF(OR(Table1[[#This Row],[currency]]="USD",Table1[[#This Row],[currency]]="$"),"USD","Unknown"))</f>
        <v>EUR</v>
      </c>
      <c r="S39" t="s">
        <v>47</v>
      </c>
      <c r="T39" t="str">
        <f>IFERROR(_xlfn.XLOOKUP(Table1[[#This Row],[order_status]],Table8[Original],Table8[Clean],,0,1),"Unknown")</f>
        <v>Returned</v>
      </c>
      <c r="U39">
        <v>2</v>
      </c>
      <c r="V39">
        <f>IF(ISNUMBER(Table1[[#This Row],[delivery_days]]),Table1[[#This Row],[delivery_days]],IFERROR(_xlfn.XLOOKUP(Table1[[#This Row],[delivery_days]],Table57[Original],Table57[Clean],,0,1),"Unknown"))</f>
        <v>2</v>
      </c>
      <c r="W39" t="s">
        <v>37</v>
      </c>
    </row>
    <row r="40" spans="1:23" x14ac:dyDescent="0.3">
      <c r="A40">
        <v>1038</v>
      </c>
      <c r="B40" t="str">
        <f>IF(ISBLANK(Table1[[#This Row],[order_id]]),"",IF(LEFT(Table1[[#This Row],[order_id]],3)="ORD",Table1[[#This Row],[order_id]],"ORD-" &amp; Table1[[#This Row],[order_id]]))</f>
        <v>ORD-1038</v>
      </c>
      <c r="C40" t="s">
        <v>126</v>
      </c>
      <c r="D40" s="1">
        <f>IFERROR(DATEVALUE(Table1[[#This Row],[order_date]]),"")</f>
        <v>45703</v>
      </c>
      <c r="E40" t="s">
        <v>127</v>
      </c>
      <c r="F40" t="str">
        <f>IF(ISBLANK(Table1[[#This Row],[customer_name]]),"Unknown Customer",PROPER(SUBSTITUTE(Table1[[#This Row],[customer_name]],"Cust.","Customer")))</f>
        <v>Customer 38</v>
      </c>
      <c r="G40" t="s">
        <v>32</v>
      </c>
      <c r="H40" t="str">
        <f>IFERROR(_xlfn.XLOOKUP(Table1[[#This Row],[region]],Mappings!$C$3:$C$8,Mappings!$D$3:$D$8,,0,1),"Unknown")</f>
        <v>Europe</v>
      </c>
      <c r="I40" t="s">
        <v>27</v>
      </c>
      <c r="J40" t="str">
        <f>IFERROR(_xlfn.XLOOKUP(Table1[[#This Row],[sales_channel]],Table4[Original],Table4[Clean],,0,1),"Unknown")</f>
        <v>Online</v>
      </c>
      <c r="L40" t="str">
        <f>IFERROR(_xlfn.XLOOKUP(Table1[[#This Row],[product]],Table3[Original],Table3[Product_clean],,0,1),"Unknown")</f>
        <v>Unknown</v>
      </c>
      <c r="M40" s="6" t="s">
        <v>83</v>
      </c>
      <c r="N40">
        <f>IF(ISNUMBER(Table1[[#This Row],[quantity]]),Table1[[#This Row],[quantity]],IFERROR(VLOOKUP(Table1[[#This Row],[quantity]],Table5[#All],2,FALSE),"Unknown"))</f>
        <v>2</v>
      </c>
      <c r="P40" t="str">
        <f>IFERROR(VALUE(SUBSTITUTE(SUBSTITUTE(SUBSTITUTE(Table1[[#This Row],[revenue]],"EUR",""),"$",""),".",",")),"")</f>
        <v/>
      </c>
      <c r="R40" t="str">
        <f>IF(OR(Table1[[#This Row],[currency]]="EUR",Table1[[#This Row],[currency]]="€"),"EUR",IF(OR(Table1[[#This Row],[currency]]="USD",Table1[[#This Row],[currency]]="$"),"USD","Unknown"))</f>
        <v>Unknown</v>
      </c>
      <c r="S40" t="s">
        <v>18</v>
      </c>
      <c r="T40" t="str">
        <f>IFERROR(_xlfn.XLOOKUP(Table1[[#This Row],[order_status]],Table8[Original],Table8[Clean],,0,1),"Unknown")</f>
        <v>Pending</v>
      </c>
      <c r="U40" t="s">
        <v>36</v>
      </c>
      <c r="V40">
        <f>IF(ISNUMBER(Table1[[#This Row],[delivery_days]]),Table1[[#This Row],[delivery_days]],IFERROR(_xlfn.XLOOKUP(Table1[[#This Row],[delivery_days]],Table57[Original],Table57[Clean],,0,1),"Unknown"))</f>
        <v>5</v>
      </c>
      <c r="W40" t="s">
        <v>24</v>
      </c>
    </row>
    <row r="41" spans="1:23" x14ac:dyDescent="0.3">
      <c r="B41" t="str">
        <f>IF(ISBLANK(Table1[[#This Row],[order_id]]),"",IF(LEFT(Table1[[#This Row],[order_id]],3)="ORD",Table1[[#This Row],[order_id]],"ORD-" &amp; Table1[[#This Row],[order_id]]))</f>
        <v/>
      </c>
      <c r="D41" s="1" t="str">
        <f>IFERROR(DATEVALUE(Table1[[#This Row],[order_date]]),"")</f>
        <v/>
      </c>
      <c r="E41" t="s">
        <v>128</v>
      </c>
      <c r="F41" t="str">
        <f>IF(ISBLANK(Table1[[#This Row],[customer_name]]),"Unknown Customer",PROPER(SUBSTITUTE(Table1[[#This Row],[customer_name]],"Cust.","Customer")))</f>
        <v>Customer 39</v>
      </c>
      <c r="H41" t="str">
        <f>IFERROR(_xlfn.XLOOKUP(Table1[[#This Row],[region]],Mappings!$C$3:$C$8,Mappings!$D$3:$D$8,,0,1),"Unknown")</f>
        <v>Unknown</v>
      </c>
      <c r="I41" t="s">
        <v>78</v>
      </c>
      <c r="J41" t="str">
        <f>IFERROR(_xlfn.XLOOKUP(Table1[[#This Row],[sales_channel]],Table4[Original],Table4[Clean],,0,1),"Unknown")</f>
        <v>Mobile</v>
      </c>
      <c r="K41" t="s">
        <v>41</v>
      </c>
      <c r="L41" t="str">
        <f>IFERROR(_xlfn.XLOOKUP(Table1[[#This Row],[product]],Table3[Original],Table3[Product_clean],,0,1),"Unknown")</f>
        <v>Phone</v>
      </c>
      <c r="M41" s="6">
        <v>3</v>
      </c>
      <c r="N41">
        <f>IF(ISNUMBER(Table1[[#This Row],[quantity]]),Table1[[#This Row],[quantity]],IFERROR(VLOOKUP(Table1[[#This Row],[quantity]],Table5[#All],2,FALSE),"Unknown"))</f>
        <v>3</v>
      </c>
      <c r="P41" t="str">
        <f>IFERROR(VALUE(SUBSTITUTE(SUBSTITUTE(SUBSTITUTE(Table1[[#This Row],[revenue]],"EUR",""),"$",""),".",",")),"")</f>
        <v/>
      </c>
      <c r="Q41" t="s">
        <v>58</v>
      </c>
      <c r="R41" t="str">
        <f>IF(OR(Table1[[#This Row],[currency]]="EUR",Table1[[#This Row],[currency]]="€"),"EUR",IF(OR(Table1[[#This Row],[currency]]="USD",Table1[[#This Row],[currency]]="$"),"USD","Unknown"))</f>
        <v>USD</v>
      </c>
      <c r="T41" t="str">
        <f>IFERROR(_xlfn.XLOOKUP(Table1[[#This Row],[order_status]],Table8[Original],Table8[Clean],,0,1),"Unknown")</f>
        <v>Unknown</v>
      </c>
      <c r="U41">
        <v>3</v>
      </c>
      <c r="V41">
        <f>IF(ISNUMBER(Table1[[#This Row],[delivery_days]]),Table1[[#This Row],[delivery_days]],IFERROR(_xlfn.XLOOKUP(Table1[[#This Row],[delivery_days]],Table57[Original],Table57[Clean],,0,1),"Unknown"))</f>
        <v>3</v>
      </c>
    </row>
    <row r="42" spans="1:23" x14ac:dyDescent="0.3">
      <c r="A42">
        <v>1040</v>
      </c>
      <c r="B42" t="str">
        <f>IF(ISBLANK(Table1[[#This Row],[order_id]]),"",IF(LEFT(Table1[[#This Row],[order_id]],3)="ORD",Table1[[#This Row],[order_id]],"ORD-" &amp; Table1[[#This Row],[order_id]]))</f>
        <v>ORD-1040</v>
      </c>
      <c r="C42" t="s">
        <v>129</v>
      </c>
      <c r="D42" s="1" t="str">
        <f>IFERROR(DATEVALUE(Table1[[#This Row],[order_date]]),"")</f>
        <v/>
      </c>
      <c r="E42" t="s">
        <v>130</v>
      </c>
      <c r="F42" t="str">
        <f>IF(ISBLANK(Table1[[#This Row],[customer_name]]),"Unknown Customer",PROPER(SUBSTITUTE(Table1[[#This Row],[customer_name]],"Cust.","Customer")))</f>
        <v>Customer 40</v>
      </c>
      <c r="G42" t="s">
        <v>26</v>
      </c>
      <c r="H42" t="str">
        <f>IFERROR(_xlfn.XLOOKUP(Table1[[#This Row],[region]],Mappings!$C$3:$C$8,Mappings!$D$3:$D$8,,0,1),"Unknown")</f>
        <v>Asia</v>
      </c>
      <c r="I42" t="s">
        <v>50</v>
      </c>
      <c r="J42" t="str">
        <f>IFERROR(_xlfn.XLOOKUP(Table1[[#This Row],[sales_channel]],Table4[Original],Table4[Clean],,0,1),"Unknown")</f>
        <v>Mobile</v>
      </c>
      <c r="K42" t="s">
        <v>102</v>
      </c>
      <c r="L42" t="str">
        <f>IFERROR(_xlfn.XLOOKUP(Table1[[#This Row],[product]],Table3[Original],Table3[Product_clean],,0,1),"Unknown")</f>
        <v>Phone</v>
      </c>
      <c r="M42" s="6"/>
      <c r="N42" t="str">
        <f>IF(ISNUMBER(Table1[[#This Row],[quantity]]),Table1[[#This Row],[quantity]],IFERROR(VLOOKUP(Table1[[#This Row],[quantity]],Table5[#All],2,FALSE),"Unknown"))</f>
        <v>Unknown</v>
      </c>
      <c r="P42" t="str">
        <f>IFERROR(VALUE(SUBSTITUTE(SUBSTITUTE(SUBSTITUTE(Table1[[#This Row],[revenue]],"EUR",""),"$",""),".",",")),"")</f>
        <v/>
      </c>
      <c r="Q42" t="s">
        <v>17</v>
      </c>
      <c r="R42" t="str">
        <f>IF(OR(Table1[[#This Row],[currency]]="EUR",Table1[[#This Row],[currency]]="€"),"EUR",IF(OR(Table1[[#This Row],[currency]]="USD",Table1[[#This Row],[currency]]="$"),"USD","Unknown"))</f>
        <v>EUR</v>
      </c>
      <c r="S42" t="s">
        <v>23</v>
      </c>
      <c r="T42" t="str">
        <f>IFERROR(_xlfn.XLOOKUP(Table1[[#This Row],[order_status]],Table8[Original],Table8[Clean],,0,1),"Unknown")</f>
        <v>Delivered</v>
      </c>
      <c r="U42">
        <v>2</v>
      </c>
      <c r="V42">
        <f>IF(ISNUMBER(Table1[[#This Row],[delivery_days]]),Table1[[#This Row],[delivery_days]],IFERROR(_xlfn.XLOOKUP(Table1[[#This Row],[delivery_days]],Table57[Original],Table57[Clean],,0,1),"Unknown"))</f>
        <v>2</v>
      </c>
      <c r="W42" t="s">
        <v>37</v>
      </c>
    </row>
    <row r="43" spans="1:23" x14ac:dyDescent="0.3">
      <c r="A43">
        <v>1041</v>
      </c>
      <c r="B43" t="str">
        <f>IF(ISBLANK(Table1[[#This Row],[order_id]]),"",IF(LEFT(Table1[[#This Row],[order_id]],3)="ORD",Table1[[#This Row],[order_id]],"ORD-" &amp; Table1[[#This Row],[order_id]]))</f>
        <v>ORD-1041</v>
      </c>
      <c r="D43" s="1" t="str">
        <f>IFERROR(DATEVALUE(Table1[[#This Row],[order_date]]),"")</f>
        <v/>
      </c>
      <c r="F43" t="str">
        <f>IF(ISBLANK(Table1[[#This Row],[customer_name]]),"Unknown Customer",PROPER(SUBSTITUTE(Table1[[#This Row],[customer_name]],"Cust.","Customer")))</f>
        <v>Unknown Customer</v>
      </c>
      <c r="G43" t="s">
        <v>26</v>
      </c>
      <c r="H43" t="str">
        <f>IFERROR(_xlfn.XLOOKUP(Table1[[#This Row],[region]],Mappings!$C$3:$C$8,Mappings!$D$3:$D$8,,0,1),"Unknown")</f>
        <v>Asia</v>
      </c>
      <c r="I43" t="s">
        <v>68</v>
      </c>
      <c r="J43" t="str">
        <f>IFERROR(_xlfn.XLOOKUP(Table1[[#This Row],[sales_channel]],Table4[Original],Table4[Clean],,0,1),"Unknown")</f>
        <v>Online</v>
      </c>
      <c r="K43" t="s">
        <v>41</v>
      </c>
      <c r="L43" t="str">
        <f>IFERROR(_xlfn.XLOOKUP(Table1[[#This Row],[product]],Table3[Original],Table3[Product_clean],,0,1),"Unknown")</f>
        <v>Phone</v>
      </c>
      <c r="M43" s="6" t="s">
        <v>83</v>
      </c>
      <c r="N43">
        <f>IF(ISNUMBER(Table1[[#This Row],[quantity]]),Table1[[#This Row],[quantity]],IFERROR(VLOOKUP(Table1[[#This Row],[quantity]],Table5[#All],2,FALSE),"Unknown"))</f>
        <v>2</v>
      </c>
      <c r="O43" t="s">
        <v>131</v>
      </c>
      <c r="P43">
        <f>IFERROR(VALUE(SUBSTITUTE(SUBSTITUTE(SUBSTITUTE(Table1[[#This Row],[revenue]],"EUR",""),"$",""),".",",")),"")</f>
        <v>2097.15</v>
      </c>
      <c r="Q43" t="s">
        <v>17</v>
      </c>
      <c r="R43" t="str">
        <f>IF(OR(Table1[[#This Row],[currency]]="EUR",Table1[[#This Row],[currency]]="€"),"EUR",IF(OR(Table1[[#This Row],[currency]]="USD",Table1[[#This Row],[currency]]="$"),"USD","Unknown"))</f>
        <v>EUR</v>
      </c>
      <c r="S43" t="s">
        <v>23</v>
      </c>
      <c r="T43" t="str">
        <f>IFERROR(_xlfn.XLOOKUP(Table1[[#This Row],[order_status]],Table8[Original],Table8[Clean],,0,1),"Unknown")</f>
        <v>Delivered</v>
      </c>
      <c r="U43">
        <v>5</v>
      </c>
      <c r="V43">
        <f>IF(ISNUMBER(Table1[[#This Row],[delivery_days]]),Table1[[#This Row],[delivery_days]],IFERROR(_xlfn.XLOOKUP(Table1[[#This Row],[delivery_days]],Table57[Original],Table57[Clean],,0,1),"Unknown"))</f>
        <v>5</v>
      </c>
    </row>
    <row r="44" spans="1:23" x14ac:dyDescent="0.3">
      <c r="B44" t="str">
        <f>IF(ISBLANK(Table1[[#This Row],[order_id]]),"",IF(LEFT(Table1[[#This Row],[order_id]],3)="ORD",Table1[[#This Row],[order_id]],"ORD-" &amp; Table1[[#This Row],[order_id]]))</f>
        <v/>
      </c>
      <c r="D44" s="1" t="str">
        <f>IFERROR(DATEVALUE(Table1[[#This Row],[order_date]]),"")</f>
        <v/>
      </c>
      <c r="F44" t="str">
        <f>IF(ISBLANK(Table1[[#This Row],[customer_name]]),"Unknown Customer",PROPER(SUBSTITUTE(Table1[[#This Row],[customer_name]],"Cust.","Customer")))</f>
        <v>Unknown Customer</v>
      </c>
      <c r="G44" t="s">
        <v>73</v>
      </c>
      <c r="H44" t="str">
        <f>IFERROR(_xlfn.XLOOKUP(Table1[[#This Row],[region]],Mappings!$C$3:$C$8,Mappings!$D$3:$D$8,,0,1),"Unknown")</f>
        <v>Europe</v>
      </c>
      <c r="I44" t="s">
        <v>50</v>
      </c>
      <c r="J44" t="str">
        <f>IFERROR(_xlfn.XLOOKUP(Table1[[#This Row],[sales_channel]],Table4[Original],Table4[Clean],,0,1),"Unknown")</f>
        <v>Mobile</v>
      </c>
      <c r="K44" t="s">
        <v>102</v>
      </c>
      <c r="L44" t="str">
        <f>IFERROR(_xlfn.XLOOKUP(Table1[[#This Row],[product]],Table3[Original],Table3[Product_clean],,0,1),"Unknown")</f>
        <v>Phone</v>
      </c>
      <c r="M44" s="6" t="s">
        <v>83</v>
      </c>
      <c r="N44">
        <f>IF(ISNUMBER(Table1[[#This Row],[quantity]]),Table1[[#This Row],[quantity]],IFERROR(VLOOKUP(Table1[[#This Row],[quantity]],Table5[#All],2,FALSE),"Unknown"))</f>
        <v>2</v>
      </c>
      <c r="O44">
        <v>1773.03</v>
      </c>
      <c r="P44">
        <f>IFERROR(VALUE(SUBSTITUTE(SUBSTITUTE(SUBSTITUTE(Table1[[#This Row],[revenue]],"EUR",""),"$",""),".",",")),"")</f>
        <v>1773.03</v>
      </c>
      <c r="Q44" t="s">
        <v>22</v>
      </c>
      <c r="R44" t="str">
        <f>IF(OR(Table1[[#This Row],[currency]]="EUR",Table1[[#This Row],[currency]]="€"),"EUR",IF(OR(Table1[[#This Row],[currency]]="USD",Table1[[#This Row],[currency]]="$"),"USD","Unknown"))</f>
        <v>USD</v>
      </c>
      <c r="S44" t="s">
        <v>18</v>
      </c>
      <c r="T44" t="str">
        <f>IFERROR(_xlfn.XLOOKUP(Table1[[#This Row],[order_status]],Table8[Original],Table8[Clean],,0,1),"Unknown")</f>
        <v>Pending</v>
      </c>
      <c r="V44" t="str">
        <f>IF(ISNUMBER(Table1[[#This Row],[delivery_days]]),Table1[[#This Row],[delivery_days]],IFERROR(_xlfn.XLOOKUP(Table1[[#This Row],[delivery_days]],Table57[Original],Table57[Clean],,0,1),"Unknown"))</f>
        <v>Unknown</v>
      </c>
      <c r="W44" t="s">
        <v>37</v>
      </c>
    </row>
    <row r="45" spans="1:23" x14ac:dyDescent="0.3">
      <c r="A45" t="s">
        <v>132</v>
      </c>
      <c r="B45" t="str">
        <f>IF(ISBLANK(Table1[[#This Row],[order_id]]),"",IF(LEFT(Table1[[#This Row],[order_id]],3)="ORD",Table1[[#This Row],[order_id]],"ORD-" &amp; Table1[[#This Row],[order_id]]))</f>
        <v>ORD-1043</v>
      </c>
      <c r="C45" t="s">
        <v>133</v>
      </c>
      <c r="D45" s="1">
        <f>IFERROR(DATEVALUE(Table1[[#This Row],[order_date]]),"")</f>
        <v>45541</v>
      </c>
      <c r="F45" t="str">
        <f>IF(ISBLANK(Table1[[#This Row],[customer_name]]),"Unknown Customer",PROPER(SUBSTITUTE(Table1[[#This Row],[customer_name]],"Cust.","Customer")))</f>
        <v>Unknown Customer</v>
      </c>
      <c r="G45" t="s">
        <v>26</v>
      </c>
      <c r="H45" t="str">
        <f>IFERROR(_xlfn.XLOOKUP(Table1[[#This Row],[region]],Mappings!$C$3:$C$8,Mappings!$D$3:$D$8,,0,1),"Unknown")</f>
        <v>Asia</v>
      </c>
      <c r="J45" t="str">
        <f>IFERROR(_xlfn.XLOOKUP(Table1[[#This Row],[sales_channel]],Table4[Original],Table4[Clean],,0,1),"Unknown")</f>
        <v>Unknown</v>
      </c>
      <c r="K45" t="s">
        <v>15</v>
      </c>
      <c r="L45" t="str">
        <f>IFERROR(_xlfn.XLOOKUP(Table1[[#This Row],[product]],Table3[Original],Table3[Product_clean],,0,1),"Unknown")</f>
        <v>Tablet</v>
      </c>
      <c r="M45" s="6" t="s">
        <v>83</v>
      </c>
      <c r="N45">
        <f>IF(ISNUMBER(Table1[[#This Row],[quantity]]),Table1[[#This Row],[quantity]],IFERROR(VLOOKUP(Table1[[#This Row],[quantity]],Table5[#All],2,FALSE),"Unknown"))</f>
        <v>2</v>
      </c>
      <c r="P45" t="str">
        <f>IFERROR(VALUE(SUBSTITUTE(SUBSTITUTE(SUBSTITUTE(Table1[[#This Row],[revenue]],"EUR",""),"$",""),".",",")),"")</f>
        <v/>
      </c>
      <c r="Q45" t="s">
        <v>58</v>
      </c>
      <c r="R45" t="str">
        <f>IF(OR(Table1[[#This Row],[currency]]="EUR",Table1[[#This Row],[currency]]="€"),"EUR",IF(OR(Table1[[#This Row],[currency]]="USD",Table1[[#This Row],[currency]]="$"),"USD","Unknown"))</f>
        <v>USD</v>
      </c>
      <c r="S45" t="s">
        <v>47</v>
      </c>
      <c r="T45" t="str">
        <f>IFERROR(_xlfn.XLOOKUP(Table1[[#This Row],[order_status]],Table8[Original],Table8[Clean],,0,1),"Unknown")</f>
        <v>Returned</v>
      </c>
      <c r="U45">
        <v>2</v>
      </c>
      <c r="V45">
        <f>IF(ISNUMBER(Table1[[#This Row],[delivery_days]]),Table1[[#This Row],[delivery_days]],IFERROR(_xlfn.XLOOKUP(Table1[[#This Row],[delivery_days]],Table57[Original],Table57[Clean],,0,1),"Unknown"))</f>
        <v>2</v>
      </c>
    </row>
    <row r="46" spans="1:23" x14ac:dyDescent="0.3">
      <c r="A46">
        <v>1044</v>
      </c>
      <c r="B46" t="str">
        <f>IF(ISBLANK(Table1[[#This Row],[order_id]]),"",IF(LEFT(Table1[[#This Row],[order_id]],3)="ORD",Table1[[#This Row],[order_id]],"ORD-" &amp; Table1[[#This Row],[order_id]]))</f>
        <v>ORD-1044</v>
      </c>
      <c r="D46" s="1" t="str">
        <f>IFERROR(DATEVALUE(Table1[[#This Row],[order_date]]),"")</f>
        <v/>
      </c>
      <c r="E46" t="s">
        <v>134</v>
      </c>
      <c r="F46" t="str">
        <f>IF(ISBLANK(Table1[[#This Row],[customer_name]]),"Unknown Customer",PROPER(SUBSTITUTE(Table1[[#This Row],[customer_name]],"Cust.","Customer")))</f>
        <v>Customer 44</v>
      </c>
      <c r="H46" t="str">
        <f>IFERROR(_xlfn.XLOOKUP(Table1[[#This Row],[region]],Mappings!$C$3:$C$8,Mappings!$D$3:$D$8,,0,1),"Unknown")</f>
        <v>Unknown</v>
      </c>
      <c r="I46" t="s">
        <v>78</v>
      </c>
      <c r="J46" t="str">
        <f>IFERROR(_xlfn.XLOOKUP(Table1[[#This Row],[sales_channel]],Table4[Original],Table4[Clean],,0,1),"Unknown")</f>
        <v>Mobile</v>
      </c>
      <c r="K46" t="s">
        <v>28</v>
      </c>
      <c r="L46" t="str">
        <f>IFERROR(_xlfn.XLOOKUP(Table1[[#This Row],[product]],Table3[Original],Table3[Product_clean],,0,1),"Unknown")</f>
        <v>Laptop</v>
      </c>
      <c r="M46" s="6">
        <v>1</v>
      </c>
      <c r="N46">
        <f>IF(ISNUMBER(Table1[[#This Row],[quantity]]),Table1[[#This Row],[quantity]],IFERROR(VLOOKUP(Table1[[#This Row],[quantity]],Table5[#All],2,FALSE),"Unknown"))</f>
        <v>1</v>
      </c>
      <c r="O46">
        <v>1796.08</v>
      </c>
      <c r="P46">
        <f>IFERROR(VALUE(SUBSTITUTE(SUBSTITUTE(SUBSTITUTE(Table1[[#This Row],[revenue]],"EUR",""),"$",""),".",",")),"")</f>
        <v>1796.08</v>
      </c>
      <c r="Q46" t="s">
        <v>55</v>
      </c>
      <c r="R46" t="str">
        <f>IF(OR(Table1[[#This Row],[currency]]="EUR",Table1[[#This Row],[currency]]="€"),"EUR",IF(OR(Table1[[#This Row],[currency]]="USD",Table1[[#This Row],[currency]]="$"),"USD","Unknown"))</f>
        <v>EUR</v>
      </c>
      <c r="S46" t="s">
        <v>47</v>
      </c>
      <c r="T46" t="str">
        <f>IFERROR(_xlfn.XLOOKUP(Table1[[#This Row],[order_status]],Table8[Original],Table8[Clean],,0,1),"Unknown")</f>
        <v>Returned</v>
      </c>
      <c r="U46">
        <v>3</v>
      </c>
      <c r="V46">
        <f>IF(ISNUMBER(Table1[[#This Row],[delivery_days]]),Table1[[#This Row],[delivery_days]],IFERROR(_xlfn.XLOOKUP(Table1[[#This Row],[delivery_days]],Table57[Original],Table57[Clean],,0,1),"Unknown"))</f>
        <v>3</v>
      </c>
      <c r="W46" t="s">
        <v>37</v>
      </c>
    </row>
    <row r="47" spans="1:23" x14ac:dyDescent="0.3">
      <c r="A47" t="s">
        <v>135</v>
      </c>
      <c r="B47" t="str">
        <f>IF(ISBLANK(Table1[[#This Row],[order_id]]),"",IF(LEFT(Table1[[#This Row],[order_id]],3)="ORD",Table1[[#This Row],[order_id]],"ORD-" &amp; Table1[[#This Row],[order_id]]))</f>
        <v>ORD-1045</v>
      </c>
      <c r="D47" s="1" t="str">
        <f>IFERROR(DATEVALUE(Table1[[#This Row],[order_date]]),"")</f>
        <v/>
      </c>
      <c r="E47" t="s">
        <v>136</v>
      </c>
      <c r="F47" t="str">
        <f>IF(ISBLANK(Table1[[#This Row],[customer_name]]),"Unknown Customer",PROPER(SUBSTITUTE(Table1[[#This Row],[customer_name]],"Cust.","Customer")))</f>
        <v>Customer 45</v>
      </c>
      <c r="H47" t="str">
        <f>IFERROR(_xlfn.XLOOKUP(Table1[[#This Row],[region]],Mappings!$C$3:$C$8,Mappings!$D$3:$D$8,,0,1),"Unknown")</f>
        <v>Unknown</v>
      </c>
      <c r="I47" t="s">
        <v>14</v>
      </c>
      <c r="J47" t="str">
        <f>IFERROR(_xlfn.XLOOKUP(Table1[[#This Row],[sales_channel]],Table4[Original],Table4[Clean],,0,1),"Unknown")</f>
        <v>Online</v>
      </c>
      <c r="K47" t="s">
        <v>41</v>
      </c>
      <c r="L47" t="str">
        <f>IFERROR(_xlfn.XLOOKUP(Table1[[#This Row],[product]],Table3[Original],Table3[Product_clean],,0,1),"Unknown")</f>
        <v>Phone</v>
      </c>
      <c r="M47" s="6">
        <v>1</v>
      </c>
      <c r="N47">
        <f>IF(ISNUMBER(Table1[[#This Row],[quantity]]),Table1[[#This Row],[quantity]],IFERROR(VLOOKUP(Table1[[#This Row],[quantity]],Table5[#All],2,FALSE),"Unknown"))</f>
        <v>1</v>
      </c>
      <c r="P47" t="str">
        <f>IFERROR(VALUE(SUBSTITUTE(SUBSTITUTE(SUBSTITUTE(Table1[[#This Row],[revenue]],"EUR",""),"$",""),".",",")),"")</f>
        <v/>
      </c>
      <c r="R47" t="str">
        <f>IF(OR(Table1[[#This Row],[currency]]="EUR",Table1[[#This Row],[currency]]="€"),"EUR",IF(OR(Table1[[#This Row],[currency]]="USD",Table1[[#This Row],[currency]]="$"),"USD","Unknown"))</f>
        <v>Unknown</v>
      </c>
      <c r="S47" t="s">
        <v>30</v>
      </c>
      <c r="T47" t="str">
        <f>IFERROR(_xlfn.XLOOKUP(Table1[[#This Row],[order_status]],Table8[Original],Table8[Clean],,0,1),"Unknown")</f>
        <v>Delivered</v>
      </c>
      <c r="U47">
        <v>3</v>
      </c>
      <c r="V47">
        <f>IF(ISNUMBER(Table1[[#This Row],[delivery_days]]),Table1[[#This Row],[delivery_days]],IFERROR(_xlfn.XLOOKUP(Table1[[#This Row],[delivery_days]],Table57[Original],Table57[Clean],,0,1),"Unknown"))</f>
        <v>3</v>
      </c>
      <c r="W47" t="s">
        <v>37</v>
      </c>
    </row>
    <row r="48" spans="1:23" x14ac:dyDescent="0.3">
      <c r="A48">
        <v>1046</v>
      </c>
      <c r="B48" t="str">
        <f>IF(ISBLANK(Table1[[#This Row],[order_id]]),"",IF(LEFT(Table1[[#This Row],[order_id]],3)="ORD",Table1[[#This Row],[order_id]],"ORD-" &amp; Table1[[#This Row],[order_id]]))</f>
        <v>ORD-1046</v>
      </c>
      <c r="C48" t="s">
        <v>137</v>
      </c>
      <c r="D48" s="1">
        <f>IFERROR(DATEVALUE(Table1[[#This Row],[order_date]]),"")</f>
        <v>45624</v>
      </c>
      <c r="E48" t="s">
        <v>138</v>
      </c>
      <c r="F48" t="str">
        <f>IF(ISBLANK(Table1[[#This Row],[customer_name]]),"Unknown Customer",PROPER(SUBSTITUTE(Table1[[#This Row],[customer_name]],"Cust.","Customer")))</f>
        <v>Customer 46</v>
      </c>
      <c r="H48" t="str">
        <f>IFERROR(_xlfn.XLOOKUP(Table1[[#This Row],[region]],Mappings!$C$3:$C$8,Mappings!$D$3:$D$8,,0,1),"Unknown")</f>
        <v>Unknown</v>
      </c>
      <c r="I48" t="s">
        <v>14</v>
      </c>
      <c r="J48" t="str">
        <f>IFERROR(_xlfn.XLOOKUP(Table1[[#This Row],[sales_channel]],Table4[Original],Table4[Clean],,0,1),"Unknown")</f>
        <v>Online</v>
      </c>
      <c r="K48" t="s">
        <v>33</v>
      </c>
      <c r="L48" t="str">
        <f>IFERROR(_xlfn.XLOOKUP(Table1[[#This Row],[product]],Table3[Original],Table3[Product_clean],,0,1),"Unknown")</f>
        <v>Tablet</v>
      </c>
      <c r="M48" s="6">
        <v>2</v>
      </c>
      <c r="N48">
        <f>IF(ISNUMBER(Table1[[#This Row],[quantity]]),Table1[[#This Row],[quantity]],IFERROR(VLOOKUP(Table1[[#This Row],[quantity]],Table5[#All],2,FALSE),"Unknown"))</f>
        <v>2</v>
      </c>
      <c r="O48">
        <v>252.42</v>
      </c>
      <c r="P48">
        <f>IFERROR(VALUE(SUBSTITUTE(SUBSTITUTE(SUBSTITUTE(Table1[[#This Row],[revenue]],"EUR",""),"$",""),".",",")),"")</f>
        <v>252.42</v>
      </c>
      <c r="Q48" t="s">
        <v>58</v>
      </c>
      <c r="R48" t="str">
        <f>IF(OR(Table1[[#This Row],[currency]]="EUR",Table1[[#This Row],[currency]]="€"),"EUR",IF(OR(Table1[[#This Row],[currency]]="USD",Table1[[#This Row],[currency]]="$"),"USD","Unknown"))</f>
        <v>USD</v>
      </c>
      <c r="S48" t="s">
        <v>23</v>
      </c>
      <c r="T48" t="str">
        <f>IFERROR(_xlfn.XLOOKUP(Table1[[#This Row],[order_status]],Table8[Original],Table8[Clean],,0,1),"Unknown")</f>
        <v>Delivered</v>
      </c>
      <c r="U48">
        <v>5</v>
      </c>
      <c r="V48">
        <f>IF(ISNUMBER(Table1[[#This Row],[delivery_days]]),Table1[[#This Row],[delivery_days]],IFERROR(_xlfn.XLOOKUP(Table1[[#This Row],[delivery_days]],Table57[Original],Table57[Clean],,0,1),"Unknown"))</f>
        <v>5</v>
      </c>
    </row>
    <row r="49" spans="1:23" x14ac:dyDescent="0.3">
      <c r="B49" t="str">
        <f>IF(ISBLANK(Table1[[#This Row],[order_id]]),"",IF(LEFT(Table1[[#This Row],[order_id]],3)="ORD",Table1[[#This Row],[order_id]],"ORD-" &amp; Table1[[#This Row],[order_id]]))</f>
        <v/>
      </c>
      <c r="C49" t="s">
        <v>139</v>
      </c>
      <c r="D49" s="1" t="str">
        <f>IFERROR(DATEVALUE(Table1[[#This Row],[order_date]]),"")</f>
        <v/>
      </c>
      <c r="E49" t="s">
        <v>140</v>
      </c>
      <c r="F49" t="str">
        <f>IF(ISBLANK(Table1[[#This Row],[customer_name]]),"Unknown Customer",PROPER(SUBSTITUTE(Table1[[#This Row],[customer_name]],"Cust.","Customer")))</f>
        <v>Customer 47</v>
      </c>
      <c r="G49" t="s">
        <v>54</v>
      </c>
      <c r="H49" t="str">
        <f>IFERROR(_xlfn.XLOOKUP(Table1[[#This Row],[region]],Mappings!$C$3:$C$8,Mappings!$D$3:$D$8,,0,1),"Unknown")</f>
        <v>USA</v>
      </c>
      <c r="I49" t="s">
        <v>68</v>
      </c>
      <c r="J49" t="str">
        <f>IFERROR(_xlfn.XLOOKUP(Table1[[#This Row],[sales_channel]],Table4[Original],Table4[Clean],,0,1),"Unknown")</f>
        <v>Online</v>
      </c>
      <c r="K49" t="s">
        <v>33</v>
      </c>
      <c r="L49" t="str">
        <f>IFERROR(_xlfn.XLOOKUP(Table1[[#This Row],[product]],Table3[Original],Table3[Product_clean],,0,1),"Unknown")</f>
        <v>Tablet</v>
      </c>
      <c r="M49" s="6">
        <v>1</v>
      </c>
      <c r="N49">
        <f>IF(ISNUMBER(Table1[[#This Row],[quantity]]),Table1[[#This Row],[quantity]],IFERROR(VLOOKUP(Table1[[#This Row],[quantity]],Table5[#All],2,FALSE),"Unknown"))</f>
        <v>1</v>
      </c>
      <c r="P49" t="str">
        <f>IFERROR(VALUE(SUBSTITUTE(SUBSTITUTE(SUBSTITUTE(Table1[[#This Row],[revenue]],"EUR",""),"$",""),".",",")),"")</f>
        <v/>
      </c>
      <c r="Q49" t="s">
        <v>58</v>
      </c>
      <c r="R49" t="str">
        <f>IF(OR(Table1[[#This Row],[currency]]="EUR",Table1[[#This Row],[currency]]="€"),"EUR",IF(OR(Table1[[#This Row],[currency]]="USD",Table1[[#This Row],[currency]]="$"),"USD","Unknown"))</f>
        <v>USD</v>
      </c>
      <c r="S49" t="s">
        <v>35</v>
      </c>
      <c r="T49" t="str">
        <f>IFERROR(_xlfn.XLOOKUP(Table1[[#This Row],[order_status]],Table8[Original],Table8[Clean],,0,1),"Unknown")</f>
        <v>Returned</v>
      </c>
      <c r="U49">
        <v>1</v>
      </c>
      <c r="V49">
        <f>IF(ISNUMBER(Table1[[#This Row],[delivery_days]]),Table1[[#This Row],[delivery_days]],IFERROR(_xlfn.XLOOKUP(Table1[[#This Row],[delivery_days]],Table57[Original],Table57[Clean],,0,1),"Unknown"))</f>
        <v>1</v>
      </c>
    </row>
    <row r="50" spans="1:23" x14ac:dyDescent="0.3">
      <c r="A50" t="s">
        <v>141</v>
      </c>
      <c r="B50" t="str">
        <f>IF(ISBLANK(Table1[[#This Row],[order_id]]),"",IF(LEFT(Table1[[#This Row],[order_id]],3)="ORD",Table1[[#This Row],[order_id]],"ORD-" &amp; Table1[[#This Row],[order_id]]))</f>
        <v>ORD-1048</v>
      </c>
      <c r="C50" t="s">
        <v>142</v>
      </c>
      <c r="D50" s="1">
        <f>IFERROR(DATEVALUE(Table1[[#This Row],[order_date]]),"")</f>
        <v>45451</v>
      </c>
      <c r="E50" t="s">
        <v>143</v>
      </c>
      <c r="F50" t="str">
        <f>IF(ISBLANK(Table1[[#This Row],[customer_name]]),"Unknown Customer",PROPER(SUBSTITUTE(Table1[[#This Row],[customer_name]],"Cust.","Customer")))</f>
        <v>Customer 48</v>
      </c>
      <c r="G50" t="s">
        <v>45</v>
      </c>
      <c r="H50" t="str">
        <f>IFERROR(_xlfn.XLOOKUP(Table1[[#This Row],[region]],Mappings!$C$3:$C$8,Mappings!$D$3:$D$8,,0,1),"Unknown")</f>
        <v>USA</v>
      </c>
      <c r="J50" t="str">
        <f>IFERROR(_xlfn.XLOOKUP(Table1[[#This Row],[sales_channel]],Table4[Original],Table4[Clean],,0,1),"Unknown")</f>
        <v>Unknown</v>
      </c>
      <c r="L50" t="str">
        <f>IFERROR(_xlfn.XLOOKUP(Table1[[#This Row],[product]],Table3[Original],Table3[Product_clean],,0,1),"Unknown")</f>
        <v>Unknown</v>
      </c>
      <c r="M50" s="6">
        <v>2</v>
      </c>
      <c r="N50">
        <f>IF(ISNUMBER(Table1[[#This Row],[quantity]]),Table1[[#This Row],[quantity]],IFERROR(VLOOKUP(Table1[[#This Row],[quantity]],Table5[#All],2,FALSE),"Unknown"))</f>
        <v>2</v>
      </c>
      <c r="P50" t="str">
        <f>IFERROR(VALUE(SUBSTITUTE(SUBSTITUTE(SUBSTITUTE(Table1[[#This Row],[revenue]],"EUR",""),"$",""),".",",")),"")</f>
        <v/>
      </c>
      <c r="Q50" t="s">
        <v>17</v>
      </c>
      <c r="R50" t="str">
        <f>IF(OR(Table1[[#This Row],[currency]]="EUR",Table1[[#This Row],[currency]]="€"),"EUR",IF(OR(Table1[[#This Row],[currency]]="USD",Table1[[#This Row],[currency]]="$"),"USD","Unknown"))</f>
        <v>EUR</v>
      </c>
      <c r="T50" t="str">
        <f>IFERROR(_xlfn.XLOOKUP(Table1[[#This Row],[order_status]],Table8[Original],Table8[Clean],,0,1),"Unknown")</f>
        <v>Unknown</v>
      </c>
      <c r="U50">
        <v>3</v>
      </c>
      <c r="V50">
        <f>IF(ISNUMBER(Table1[[#This Row],[delivery_days]]),Table1[[#This Row],[delivery_days]],IFERROR(_xlfn.XLOOKUP(Table1[[#This Row],[delivery_days]],Table57[Original],Table57[Clean],,0,1),"Unknown"))</f>
        <v>3</v>
      </c>
    </row>
    <row r="51" spans="1:23" x14ac:dyDescent="0.3">
      <c r="A51" t="s">
        <v>144</v>
      </c>
      <c r="B51" t="str">
        <f>IF(ISBLANK(Table1[[#This Row],[order_id]]),"",IF(LEFT(Table1[[#This Row],[order_id]],3)="ORD",Table1[[#This Row],[order_id]],"ORD-" &amp; Table1[[#This Row],[order_id]]))</f>
        <v>ORD-1049</v>
      </c>
      <c r="D51" s="1" t="str">
        <f>IFERROR(DATEVALUE(Table1[[#This Row],[order_date]]),"")</f>
        <v/>
      </c>
      <c r="E51" t="s">
        <v>145</v>
      </c>
      <c r="F51" t="str">
        <f>IF(ISBLANK(Table1[[#This Row],[customer_name]]),"Unknown Customer",PROPER(SUBSTITUTE(Table1[[#This Row],[customer_name]],"Cust.","Customer")))</f>
        <v>Customer 49</v>
      </c>
      <c r="G51" t="s">
        <v>73</v>
      </c>
      <c r="H51" t="str">
        <f>IFERROR(_xlfn.XLOOKUP(Table1[[#This Row],[region]],Mappings!$C$3:$C$8,Mappings!$D$3:$D$8,,0,1),"Unknown")</f>
        <v>Europe</v>
      </c>
      <c r="I51" t="s">
        <v>68</v>
      </c>
      <c r="J51" t="str">
        <f>IFERROR(_xlfn.XLOOKUP(Table1[[#This Row],[sales_channel]],Table4[Original],Table4[Clean],,0,1),"Unknown")</f>
        <v>Online</v>
      </c>
      <c r="K51" t="s">
        <v>15</v>
      </c>
      <c r="L51" t="str">
        <f>IFERROR(_xlfn.XLOOKUP(Table1[[#This Row],[product]],Table3[Original],Table3[Product_clean],,0,1),"Unknown")</f>
        <v>Tablet</v>
      </c>
      <c r="M51" s="6">
        <v>3</v>
      </c>
      <c r="N51">
        <f>IF(ISNUMBER(Table1[[#This Row],[quantity]]),Table1[[#This Row],[quantity]],IFERROR(VLOOKUP(Table1[[#This Row],[quantity]],Table5[#All],2,FALSE),"Unknown"))</f>
        <v>3</v>
      </c>
      <c r="O51">
        <v>2952.34</v>
      </c>
      <c r="P51">
        <f>IFERROR(VALUE(SUBSTITUTE(SUBSTITUTE(SUBSTITUTE(Table1[[#This Row],[revenue]],"EUR",""),"$",""),".",",")),"")</f>
        <v>2952.34</v>
      </c>
      <c r="Q51" t="s">
        <v>17</v>
      </c>
      <c r="R51" t="str">
        <f>IF(OR(Table1[[#This Row],[currency]]="EUR",Table1[[#This Row],[currency]]="€"),"EUR",IF(OR(Table1[[#This Row],[currency]]="USD",Table1[[#This Row],[currency]]="$"),"USD","Unknown"))</f>
        <v>EUR</v>
      </c>
      <c r="S51" t="s">
        <v>47</v>
      </c>
      <c r="T51" t="str">
        <f>IFERROR(_xlfn.XLOOKUP(Table1[[#This Row],[order_status]],Table8[Original],Table8[Clean],,0,1),"Unknown")</f>
        <v>Returned</v>
      </c>
      <c r="U51">
        <v>5</v>
      </c>
      <c r="V51">
        <f>IF(ISNUMBER(Table1[[#This Row],[delivery_days]]),Table1[[#This Row],[delivery_days]],IFERROR(_xlfn.XLOOKUP(Table1[[#This Row],[delivery_days]],Table57[Original],Table57[Clean],,0,1),"Unknown"))</f>
        <v>5</v>
      </c>
    </row>
    <row r="52" spans="1:23" x14ac:dyDescent="0.3">
      <c r="B52" t="str">
        <f>IF(ISBLANK(Table1[[#This Row],[order_id]]),"",IF(LEFT(Table1[[#This Row],[order_id]],3)="ORD",Table1[[#This Row],[order_id]],"ORD-" &amp; Table1[[#This Row],[order_id]]))</f>
        <v/>
      </c>
      <c r="C52" t="s">
        <v>146</v>
      </c>
      <c r="D52" s="1">
        <f>IFERROR(DATEVALUE(Table1[[#This Row],[order_date]]),"")</f>
        <v>45513</v>
      </c>
      <c r="F52" t="str">
        <f>IF(ISBLANK(Table1[[#This Row],[customer_name]]),"Unknown Customer",PROPER(SUBSTITUTE(Table1[[#This Row],[customer_name]],"Cust.","Customer")))</f>
        <v>Unknown Customer</v>
      </c>
      <c r="G52" t="s">
        <v>54</v>
      </c>
      <c r="H52" t="str">
        <f>IFERROR(_xlfn.XLOOKUP(Table1[[#This Row],[region]],Mappings!$C$3:$C$8,Mappings!$D$3:$D$8,,0,1),"Unknown")</f>
        <v>USA</v>
      </c>
      <c r="J52" t="str">
        <f>IFERROR(_xlfn.XLOOKUP(Table1[[#This Row],[sales_channel]],Table4[Original],Table4[Clean],,0,1),"Unknown")</f>
        <v>Unknown</v>
      </c>
      <c r="K52" t="s">
        <v>33</v>
      </c>
      <c r="L52" t="str">
        <f>IFERROR(_xlfn.XLOOKUP(Table1[[#This Row],[product]],Table3[Original],Table3[Product_clean],,0,1),"Unknown")</f>
        <v>Tablet</v>
      </c>
      <c r="M52" s="6">
        <v>3</v>
      </c>
      <c r="N52">
        <f>IF(ISNUMBER(Table1[[#This Row],[quantity]]),Table1[[#This Row],[quantity]],IFERROR(VLOOKUP(Table1[[#This Row],[quantity]],Table5[#All],2,FALSE),"Unknown"))</f>
        <v>3</v>
      </c>
      <c r="P52" t="str">
        <f>IFERROR(VALUE(SUBSTITUTE(SUBSTITUTE(SUBSTITUTE(Table1[[#This Row],[revenue]],"EUR",""),"$",""),".",",")),"")</f>
        <v/>
      </c>
      <c r="R52" t="str">
        <f>IF(OR(Table1[[#This Row],[currency]]="EUR",Table1[[#This Row],[currency]]="€"),"EUR",IF(OR(Table1[[#This Row],[currency]]="USD",Table1[[#This Row],[currency]]="$"),"USD","Unknown"))</f>
        <v>Unknown</v>
      </c>
      <c r="S52" t="s">
        <v>18</v>
      </c>
      <c r="T52" t="str">
        <f>IFERROR(_xlfn.XLOOKUP(Table1[[#This Row],[order_status]],Table8[Original],Table8[Clean],,0,1),"Unknown")</f>
        <v>Pending</v>
      </c>
      <c r="U52">
        <v>5</v>
      </c>
      <c r="V52">
        <f>IF(ISNUMBER(Table1[[#This Row],[delivery_days]]),Table1[[#This Row],[delivery_days]],IFERROR(_xlfn.XLOOKUP(Table1[[#This Row],[delivery_days]],Table57[Original],Table57[Clean],,0,1),"Unknown"))</f>
        <v>5</v>
      </c>
    </row>
    <row r="53" spans="1:23" x14ac:dyDescent="0.3">
      <c r="A53" t="s">
        <v>147</v>
      </c>
      <c r="B53" t="str">
        <f>IF(ISBLANK(Table1[[#This Row],[order_id]]),"",IF(LEFT(Table1[[#This Row],[order_id]],3)="ORD",Table1[[#This Row],[order_id]],"ORD-" &amp; Table1[[#This Row],[order_id]]))</f>
        <v>ORD-1051</v>
      </c>
      <c r="C53" t="s">
        <v>148</v>
      </c>
      <c r="D53" s="1">
        <f>IFERROR(DATEVALUE(Table1[[#This Row],[order_date]]),"")</f>
        <v>45515</v>
      </c>
      <c r="E53" t="s">
        <v>149</v>
      </c>
      <c r="F53" t="str">
        <f>IF(ISBLANK(Table1[[#This Row],[customer_name]]),"Unknown Customer",PROPER(SUBSTITUTE(Table1[[#This Row],[customer_name]],"Cust.","Customer")))</f>
        <v>Customer 51</v>
      </c>
      <c r="G53" t="s">
        <v>26</v>
      </c>
      <c r="H53" t="str">
        <f>IFERROR(_xlfn.XLOOKUP(Table1[[#This Row],[region]],Mappings!$C$3:$C$8,Mappings!$D$3:$D$8,,0,1),"Unknown")</f>
        <v>Asia</v>
      </c>
      <c r="I53" t="s">
        <v>78</v>
      </c>
      <c r="J53" t="str">
        <f>IFERROR(_xlfn.XLOOKUP(Table1[[#This Row],[sales_channel]],Table4[Original],Table4[Clean],,0,1),"Unknown")</f>
        <v>Mobile</v>
      </c>
      <c r="K53" t="s">
        <v>28</v>
      </c>
      <c r="L53" t="str">
        <f>IFERROR(_xlfn.XLOOKUP(Table1[[#This Row],[product]],Table3[Original],Table3[Product_clean],,0,1),"Unknown")</f>
        <v>Laptop</v>
      </c>
      <c r="M53" s="6" t="s">
        <v>83</v>
      </c>
      <c r="N53">
        <f>IF(ISNUMBER(Table1[[#This Row],[quantity]]),Table1[[#This Row],[quantity]],IFERROR(VLOOKUP(Table1[[#This Row],[quantity]],Table5[#All],2,FALSE),"Unknown"))</f>
        <v>2</v>
      </c>
      <c r="O53" t="s">
        <v>150</v>
      </c>
      <c r="P53">
        <f>IFERROR(VALUE(SUBSTITUTE(SUBSTITUTE(SUBSTITUTE(Table1[[#This Row],[revenue]],"EUR",""),"$",""),".",",")),"")</f>
        <v>2485.92</v>
      </c>
      <c r="R53" t="str">
        <f>IF(OR(Table1[[#This Row],[currency]]="EUR",Table1[[#This Row],[currency]]="€"),"EUR",IF(OR(Table1[[#This Row],[currency]]="USD",Table1[[#This Row],[currency]]="$"),"USD","Unknown"))</f>
        <v>Unknown</v>
      </c>
      <c r="S53" t="s">
        <v>18</v>
      </c>
      <c r="T53" t="str">
        <f>IFERROR(_xlfn.XLOOKUP(Table1[[#This Row],[order_status]],Table8[Original],Table8[Clean],,0,1),"Unknown")</f>
        <v>Pending</v>
      </c>
      <c r="V53" t="str">
        <f>IF(ISNUMBER(Table1[[#This Row],[delivery_days]]),Table1[[#This Row],[delivery_days]],IFERROR(_xlfn.XLOOKUP(Table1[[#This Row],[delivery_days]],Table57[Original],Table57[Clean],,0,1),"Unknown"))</f>
        <v>Unknown</v>
      </c>
    </row>
    <row r="54" spans="1:23" x14ac:dyDescent="0.3">
      <c r="A54">
        <v>1052</v>
      </c>
      <c r="B54" t="str">
        <f>IF(ISBLANK(Table1[[#This Row],[order_id]]),"",IF(LEFT(Table1[[#This Row],[order_id]],3)="ORD",Table1[[#This Row],[order_id]],"ORD-" &amp; Table1[[#This Row],[order_id]]))</f>
        <v>ORD-1052</v>
      </c>
      <c r="D54" s="1" t="str">
        <f>IFERROR(DATEVALUE(Table1[[#This Row],[order_date]]),"")</f>
        <v/>
      </c>
      <c r="E54" t="s">
        <v>151</v>
      </c>
      <c r="F54" t="str">
        <f>IF(ISBLANK(Table1[[#This Row],[customer_name]]),"Unknown Customer",PROPER(SUBSTITUTE(Table1[[#This Row],[customer_name]],"Cust.","Customer")))</f>
        <v>Customer 52</v>
      </c>
      <c r="G54" t="s">
        <v>26</v>
      </c>
      <c r="H54" t="str">
        <f>IFERROR(_xlfn.XLOOKUP(Table1[[#This Row],[region]],Mappings!$C$3:$C$8,Mappings!$D$3:$D$8,,0,1),"Unknown")</f>
        <v>Asia</v>
      </c>
      <c r="I54" t="s">
        <v>50</v>
      </c>
      <c r="J54" t="str">
        <f>IFERROR(_xlfn.XLOOKUP(Table1[[#This Row],[sales_channel]],Table4[Original],Table4[Clean],,0,1),"Unknown")</f>
        <v>Mobile</v>
      </c>
      <c r="K54" t="s">
        <v>102</v>
      </c>
      <c r="L54" t="str">
        <f>IFERROR(_xlfn.XLOOKUP(Table1[[#This Row],[product]],Table3[Original],Table3[Product_clean],,0,1),"Unknown")</f>
        <v>Phone</v>
      </c>
      <c r="M54" s="6">
        <v>3</v>
      </c>
      <c r="N54">
        <f>IF(ISNUMBER(Table1[[#This Row],[quantity]]),Table1[[#This Row],[quantity]],IFERROR(VLOOKUP(Table1[[#This Row],[quantity]],Table5[#All],2,FALSE),"Unknown"))</f>
        <v>3</v>
      </c>
      <c r="O54" t="s">
        <v>152</v>
      </c>
      <c r="P54">
        <f>IFERROR(VALUE(SUBSTITUTE(SUBSTITUTE(SUBSTITUTE(Table1[[#This Row],[revenue]],"EUR",""),"$",""),".",",")),"")</f>
        <v>134.66</v>
      </c>
      <c r="R54" t="str">
        <f>IF(OR(Table1[[#This Row],[currency]]="EUR",Table1[[#This Row],[currency]]="€"),"EUR",IF(OR(Table1[[#This Row],[currency]]="USD",Table1[[#This Row],[currency]]="$"),"USD","Unknown"))</f>
        <v>Unknown</v>
      </c>
      <c r="T54" t="str">
        <f>IFERROR(_xlfn.XLOOKUP(Table1[[#This Row],[order_status]],Table8[Original],Table8[Clean],,0,1),"Unknown")</f>
        <v>Unknown</v>
      </c>
      <c r="U54">
        <v>3</v>
      </c>
      <c r="V54">
        <f>IF(ISNUMBER(Table1[[#This Row],[delivery_days]]),Table1[[#This Row],[delivery_days]],IFERROR(_xlfn.XLOOKUP(Table1[[#This Row],[delivery_days]],Table57[Original],Table57[Clean],,0,1),"Unknown"))</f>
        <v>3</v>
      </c>
    </row>
    <row r="55" spans="1:23" x14ac:dyDescent="0.3">
      <c r="A55">
        <v>1053</v>
      </c>
      <c r="B55" t="str">
        <f>IF(ISBLANK(Table1[[#This Row],[order_id]]),"",IF(LEFT(Table1[[#This Row],[order_id]],3)="ORD",Table1[[#This Row],[order_id]],"ORD-" &amp; Table1[[#This Row],[order_id]]))</f>
        <v>ORD-1053</v>
      </c>
      <c r="D55" s="1" t="str">
        <f>IFERROR(DATEVALUE(Table1[[#This Row],[order_date]]),"")</f>
        <v/>
      </c>
      <c r="F55" t="str">
        <f>IF(ISBLANK(Table1[[#This Row],[customer_name]]),"Unknown Customer",PROPER(SUBSTITUTE(Table1[[#This Row],[customer_name]],"Cust.","Customer")))</f>
        <v>Unknown Customer</v>
      </c>
      <c r="G55" t="s">
        <v>45</v>
      </c>
      <c r="H55" t="str">
        <f>IFERROR(_xlfn.XLOOKUP(Table1[[#This Row],[region]],Mappings!$C$3:$C$8,Mappings!$D$3:$D$8,,0,1),"Unknown")</f>
        <v>USA</v>
      </c>
      <c r="I55" t="s">
        <v>27</v>
      </c>
      <c r="J55" t="str">
        <f>IFERROR(_xlfn.XLOOKUP(Table1[[#This Row],[sales_channel]],Table4[Original],Table4[Clean],,0,1),"Unknown")</f>
        <v>Online</v>
      </c>
      <c r="K55" t="s">
        <v>15</v>
      </c>
      <c r="L55" t="str">
        <f>IFERROR(_xlfn.XLOOKUP(Table1[[#This Row],[product]],Table3[Original],Table3[Product_clean],,0,1),"Unknown")</f>
        <v>Tablet</v>
      </c>
      <c r="M55" s="6" t="s">
        <v>83</v>
      </c>
      <c r="N55">
        <f>IF(ISNUMBER(Table1[[#This Row],[quantity]]),Table1[[#This Row],[quantity]],IFERROR(VLOOKUP(Table1[[#This Row],[quantity]],Table5[#All],2,FALSE),"Unknown"))</f>
        <v>2</v>
      </c>
      <c r="O55">
        <v>2846.78</v>
      </c>
      <c r="P55">
        <f>IFERROR(VALUE(SUBSTITUTE(SUBSTITUTE(SUBSTITUTE(Table1[[#This Row],[revenue]],"EUR",""),"$",""),".",",")),"")</f>
        <v>2846.78</v>
      </c>
      <c r="Q55" t="s">
        <v>22</v>
      </c>
      <c r="R55" t="str">
        <f>IF(OR(Table1[[#This Row],[currency]]="EUR",Table1[[#This Row],[currency]]="€"),"EUR",IF(OR(Table1[[#This Row],[currency]]="USD",Table1[[#This Row],[currency]]="$"),"USD","Unknown"))</f>
        <v>USD</v>
      </c>
      <c r="S55" t="s">
        <v>47</v>
      </c>
      <c r="T55" t="str">
        <f>IFERROR(_xlfn.XLOOKUP(Table1[[#This Row],[order_status]],Table8[Original],Table8[Clean],,0,1),"Unknown")</f>
        <v>Returned</v>
      </c>
      <c r="U55">
        <v>1</v>
      </c>
      <c r="V55">
        <f>IF(ISNUMBER(Table1[[#This Row],[delivery_days]]),Table1[[#This Row],[delivery_days]],IFERROR(_xlfn.XLOOKUP(Table1[[#This Row],[delivery_days]],Table57[Original],Table57[Clean],,0,1),"Unknown"))</f>
        <v>1</v>
      </c>
    </row>
    <row r="56" spans="1:23" x14ac:dyDescent="0.3">
      <c r="A56" t="s">
        <v>153</v>
      </c>
      <c r="B56" t="str">
        <f>IF(ISBLANK(Table1[[#This Row],[order_id]]),"",IF(LEFT(Table1[[#This Row],[order_id]],3)="ORD",Table1[[#This Row],[order_id]],"ORD-" &amp; Table1[[#This Row],[order_id]]))</f>
        <v>ORD-1054</v>
      </c>
      <c r="C56" t="s">
        <v>154</v>
      </c>
      <c r="D56" s="1" t="str">
        <f>IFERROR(DATEVALUE(Table1[[#This Row],[order_date]]),"")</f>
        <v/>
      </c>
      <c r="F56" t="str">
        <f>IF(ISBLANK(Table1[[#This Row],[customer_name]]),"Unknown Customer",PROPER(SUBSTITUTE(Table1[[#This Row],[customer_name]],"Cust.","Customer")))</f>
        <v>Unknown Customer</v>
      </c>
      <c r="G56" t="s">
        <v>45</v>
      </c>
      <c r="H56" t="str">
        <f>IFERROR(_xlfn.XLOOKUP(Table1[[#This Row],[region]],Mappings!$C$3:$C$8,Mappings!$D$3:$D$8,,0,1),"Unknown")</f>
        <v>USA</v>
      </c>
      <c r="I56" t="s">
        <v>68</v>
      </c>
      <c r="J56" t="str">
        <f>IFERROR(_xlfn.XLOOKUP(Table1[[#This Row],[sales_channel]],Table4[Original],Table4[Clean],,0,1),"Unknown")</f>
        <v>Online</v>
      </c>
      <c r="K56" t="s">
        <v>102</v>
      </c>
      <c r="L56" t="str">
        <f>IFERROR(_xlfn.XLOOKUP(Table1[[#This Row],[product]],Table3[Original],Table3[Product_clean],,0,1),"Unknown")</f>
        <v>Phone</v>
      </c>
      <c r="M56" s="6" t="s">
        <v>83</v>
      </c>
      <c r="N56">
        <f>IF(ISNUMBER(Table1[[#This Row],[quantity]]),Table1[[#This Row],[quantity]],IFERROR(VLOOKUP(Table1[[#This Row],[quantity]],Table5[#All],2,FALSE),"Unknown"))</f>
        <v>2</v>
      </c>
      <c r="O56" t="s">
        <v>155</v>
      </c>
      <c r="P56">
        <f>IFERROR(VALUE(SUBSTITUTE(SUBSTITUTE(SUBSTITUTE(Table1[[#This Row],[revenue]],"EUR",""),"$",""),".",",")),"")</f>
        <v>703.71</v>
      </c>
      <c r="R56" t="str">
        <f>IF(OR(Table1[[#This Row],[currency]]="EUR",Table1[[#This Row],[currency]]="€"),"EUR",IF(OR(Table1[[#This Row],[currency]]="USD",Table1[[#This Row],[currency]]="$"),"USD","Unknown"))</f>
        <v>Unknown</v>
      </c>
      <c r="S56" t="s">
        <v>35</v>
      </c>
      <c r="T56" t="str">
        <f>IFERROR(_xlfn.XLOOKUP(Table1[[#This Row],[order_status]],Table8[Original],Table8[Clean],,0,1),"Unknown")</f>
        <v>Returned</v>
      </c>
      <c r="U56">
        <v>3</v>
      </c>
      <c r="V56">
        <f>IF(ISNUMBER(Table1[[#This Row],[delivery_days]]),Table1[[#This Row],[delivery_days]],IFERROR(_xlfn.XLOOKUP(Table1[[#This Row],[delivery_days]],Table57[Original],Table57[Clean],,0,1),"Unknown"))</f>
        <v>3</v>
      </c>
    </row>
    <row r="57" spans="1:23" x14ac:dyDescent="0.3">
      <c r="A57">
        <v>1055</v>
      </c>
      <c r="B57" t="str">
        <f>IF(ISBLANK(Table1[[#This Row],[order_id]]),"",IF(LEFT(Table1[[#This Row],[order_id]],3)="ORD",Table1[[#This Row],[order_id]],"ORD-" &amp; Table1[[#This Row],[order_id]]))</f>
        <v>ORD-1055</v>
      </c>
      <c r="C57" t="s">
        <v>156</v>
      </c>
      <c r="D57" s="1">
        <f>IFERROR(DATEVALUE(Table1[[#This Row],[order_date]]),"")</f>
        <v>45430</v>
      </c>
      <c r="E57" t="s">
        <v>157</v>
      </c>
      <c r="F57" t="str">
        <f>IF(ISBLANK(Table1[[#This Row],[customer_name]]),"Unknown Customer",PROPER(SUBSTITUTE(Table1[[#This Row],[customer_name]],"Cust.","Customer")))</f>
        <v>Customer 55</v>
      </c>
      <c r="G57" t="s">
        <v>73</v>
      </c>
      <c r="H57" t="str">
        <f>IFERROR(_xlfn.XLOOKUP(Table1[[#This Row],[region]],Mappings!$C$3:$C$8,Mappings!$D$3:$D$8,,0,1),"Unknown")</f>
        <v>Europe</v>
      </c>
      <c r="J57" t="str">
        <f>IFERROR(_xlfn.XLOOKUP(Table1[[#This Row],[sales_channel]],Table4[Original],Table4[Clean],,0,1),"Unknown")</f>
        <v>Unknown</v>
      </c>
      <c r="K57" t="s">
        <v>33</v>
      </c>
      <c r="L57" t="str">
        <f>IFERROR(_xlfn.XLOOKUP(Table1[[#This Row],[product]],Table3[Original],Table3[Product_clean],,0,1),"Unknown")</f>
        <v>Tablet</v>
      </c>
      <c r="M57" s="6">
        <v>2</v>
      </c>
      <c r="N57">
        <f>IF(ISNUMBER(Table1[[#This Row],[quantity]]),Table1[[#This Row],[quantity]],IFERROR(VLOOKUP(Table1[[#This Row],[quantity]],Table5[#All],2,FALSE),"Unknown"))</f>
        <v>2</v>
      </c>
      <c r="O57" t="s">
        <v>158</v>
      </c>
      <c r="P57">
        <f>IFERROR(VALUE(SUBSTITUTE(SUBSTITUTE(SUBSTITUTE(Table1[[#This Row],[revenue]],"EUR",""),"$",""),".",",")),"")</f>
        <v>954.54</v>
      </c>
      <c r="Q57" t="s">
        <v>58</v>
      </c>
      <c r="R57" t="str">
        <f>IF(OR(Table1[[#This Row],[currency]]="EUR",Table1[[#This Row],[currency]]="€"),"EUR",IF(OR(Table1[[#This Row],[currency]]="USD",Table1[[#This Row],[currency]]="$"),"USD","Unknown"))</f>
        <v>USD</v>
      </c>
      <c r="S57" t="s">
        <v>23</v>
      </c>
      <c r="T57" t="str">
        <f>IFERROR(_xlfn.XLOOKUP(Table1[[#This Row],[order_status]],Table8[Original],Table8[Clean],,0,1),"Unknown")</f>
        <v>Delivered</v>
      </c>
      <c r="V57" t="str">
        <f>IF(ISNUMBER(Table1[[#This Row],[delivery_days]]),Table1[[#This Row],[delivery_days]],IFERROR(_xlfn.XLOOKUP(Table1[[#This Row],[delivery_days]],Table57[Original],Table57[Clean],,0,1),"Unknown"))</f>
        <v>Unknown</v>
      </c>
    </row>
    <row r="58" spans="1:23" x14ac:dyDescent="0.3">
      <c r="A58">
        <v>1056</v>
      </c>
      <c r="B58" t="str">
        <f>IF(ISBLANK(Table1[[#This Row],[order_id]]),"",IF(LEFT(Table1[[#This Row],[order_id]],3)="ORD",Table1[[#This Row],[order_id]],"ORD-" &amp; Table1[[#This Row],[order_id]]))</f>
        <v>ORD-1056</v>
      </c>
      <c r="C58" t="s">
        <v>159</v>
      </c>
      <c r="D58" s="1">
        <f>IFERROR(DATEVALUE(Table1[[#This Row],[order_date]]),"")</f>
        <v>45433</v>
      </c>
      <c r="E58" t="s">
        <v>160</v>
      </c>
      <c r="F58" t="str">
        <f>IF(ISBLANK(Table1[[#This Row],[customer_name]]),"Unknown Customer",PROPER(SUBSTITUTE(Table1[[#This Row],[customer_name]],"Cust.","Customer")))</f>
        <v>Customer 56</v>
      </c>
      <c r="G58" t="s">
        <v>54</v>
      </c>
      <c r="H58" t="str">
        <f>IFERROR(_xlfn.XLOOKUP(Table1[[#This Row],[region]],Mappings!$C$3:$C$8,Mappings!$D$3:$D$8,,0,1),"Unknown")</f>
        <v>USA</v>
      </c>
      <c r="I58" t="s">
        <v>50</v>
      </c>
      <c r="J58" t="str">
        <f>IFERROR(_xlfn.XLOOKUP(Table1[[#This Row],[sales_channel]],Table4[Original],Table4[Clean],,0,1),"Unknown")</f>
        <v>Mobile</v>
      </c>
      <c r="K58" t="s">
        <v>28</v>
      </c>
      <c r="L58" t="str">
        <f>IFERROR(_xlfn.XLOOKUP(Table1[[#This Row],[product]],Table3[Original],Table3[Product_clean],,0,1),"Unknown")</f>
        <v>Laptop</v>
      </c>
      <c r="M58" s="6">
        <v>3</v>
      </c>
      <c r="N58">
        <f>IF(ISNUMBER(Table1[[#This Row],[quantity]]),Table1[[#This Row],[quantity]],IFERROR(VLOOKUP(Table1[[#This Row],[quantity]],Table5[#All],2,FALSE),"Unknown"))</f>
        <v>3</v>
      </c>
      <c r="O58" t="s">
        <v>161</v>
      </c>
      <c r="P58">
        <f>IFERROR(VALUE(SUBSTITUTE(SUBSTITUTE(SUBSTITUTE(Table1[[#This Row],[revenue]],"EUR",""),"$",""),".",",")),"")</f>
        <v>2187.5300000000002</v>
      </c>
      <c r="Q58" t="s">
        <v>17</v>
      </c>
      <c r="R58" t="str">
        <f>IF(OR(Table1[[#This Row],[currency]]="EUR",Table1[[#This Row],[currency]]="€"),"EUR",IF(OR(Table1[[#This Row],[currency]]="USD",Table1[[#This Row],[currency]]="$"),"USD","Unknown"))</f>
        <v>EUR</v>
      </c>
      <c r="T58" t="str">
        <f>IFERROR(_xlfn.XLOOKUP(Table1[[#This Row],[order_status]],Table8[Original],Table8[Clean],,0,1),"Unknown")</f>
        <v>Unknown</v>
      </c>
      <c r="U58" t="s">
        <v>36</v>
      </c>
      <c r="V58">
        <f>IF(ISNUMBER(Table1[[#This Row],[delivery_days]]),Table1[[#This Row],[delivery_days]],IFERROR(_xlfn.XLOOKUP(Table1[[#This Row],[delivery_days]],Table57[Original],Table57[Clean],,0,1),"Unknown"))</f>
        <v>5</v>
      </c>
      <c r="W58" t="s">
        <v>37</v>
      </c>
    </row>
    <row r="59" spans="1:23" x14ac:dyDescent="0.3">
      <c r="B59" t="str">
        <f>IF(ISBLANK(Table1[[#This Row],[order_id]]),"",IF(LEFT(Table1[[#This Row],[order_id]],3)="ORD",Table1[[#This Row],[order_id]],"ORD-" &amp; Table1[[#This Row],[order_id]]))</f>
        <v/>
      </c>
      <c r="C59" t="s">
        <v>162</v>
      </c>
      <c r="D59" s="1" t="str">
        <f>IFERROR(DATEVALUE(Table1[[#This Row],[order_date]]),"")</f>
        <v/>
      </c>
      <c r="E59" t="s">
        <v>163</v>
      </c>
      <c r="F59" t="str">
        <f>IF(ISBLANK(Table1[[#This Row],[customer_name]]),"Unknown Customer",PROPER(SUBSTITUTE(Table1[[#This Row],[customer_name]],"Cust.","Customer")))</f>
        <v>Customer 57</v>
      </c>
      <c r="H59" t="str">
        <f>IFERROR(_xlfn.XLOOKUP(Table1[[#This Row],[region]],Mappings!$C$3:$C$8,Mappings!$D$3:$D$8,,0,1),"Unknown")</f>
        <v>Unknown</v>
      </c>
      <c r="I59" t="s">
        <v>78</v>
      </c>
      <c r="J59" t="str">
        <f>IFERROR(_xlfn.XLOOKUP(Table1[[#This Row],[sales_channel]],Table4[Original],Table4[Clean],,0,1),"Unknown")</f>
        <v>Mobile</v>
      </c>
      <c r="K59" t="s">
        <v>51</v>
      </c>
      <c r="L59" t="str">
        <f>IFERROR(_xlfn.XLOOKUP(Table1[[#This Row],[product]],Table3[Original],Table3[Product_clean],,0,1),"Unknown")</f>
        <v>Laptop</v>
      </c>
      <c r="M59" s="6">
        <v>1</v>
      </c>
      <c r="N59">
        <f>IF(ISNUMBER(Table1[[#This Row],[quantity]]),Table1[[#This Row],[quantity]],IFERROR(VLOOKUP(Table1[[#This Row],[quantity]],Table5[#All],2,FALSE),"Unknown"))</f>
        <v>1</v>
      </c>
      <c r="O59">
        <v>184.27</v>
      </c>
      <c r="P59">
        <f>IFERROR(VALUE(SUBSTITUTE(SUBSTITUTE(SUBSTITUTE(Table1[[#This Row],[revenue]],"EUR",""),"$",""),".",",")),"")</f>
        <v>184.27</v>
      </c>
      <c r="R59" t="str">
        <f>IF(OR(Table1[[#This Row],[currency]]="EUR",Table1[[#This Row],[currency]]="€"),"EUR",IF(OR(Table1[[#This Row],[currency]]="USD",Table1[[#This Row],[currency]]="$"),"USD","Unknown"))</f>
        <v>Unknown</v>
      </c>
      <c r="S59" t="s">
        <v>35</v>
      </c>
      <c r="T59" t="str">
        <f>IFERROR(_xlfn.XLOOKUP(Table1[[#This Row],[order_status]],Table8[Original],Table8[Clean],,0,1),"Unknown")</f>
        <v>Returned</v>
      </c>
      <c r="U59">
        <v>5</v>
      </c>
      <c r="V59">
        <f>IF(ISNUMBER(Table1[[#This Row],[delivery_days]]),Table1[[#This Row],[delivery_days]],IFERROR(_xlfn.XLOOKUP(Table1[[#This Row],[delivery_days]],Table57[Original],Table57[Clean],,0,1),"Unknown"))</f>
        <v>5</v>
      </c>
    </row>
    <row r="60" spans="1:23" x14ac:dyDescent="0.3">
      <c r="A60" t="s">
        <v>164</v>
      </c>
      <c r="B60" t="str">
        <f>IF(ISBLANK(Table1[[#This Row],[order_id]]),"",IF(LEFT(Table1[[#This Row],[order_id]],3)="ORD",Table1[[#This Row],[order_id]],"ORD-" &amp; Table1[[#This Row],[order_id]]))</f>
        <v>ORD-1058</v>
      </c>
      <c r="D60" s="1" t="str">
        <f>IFERROR(DATEVALUE(Table1[[#This Row],[order_date]]),"")</f>
        <v/>
      </c>
      <c r="E60" t="s">
        <v>165</v>
      </c>
      <c r="F60" t="str">
        <f>IF(ISBLANK(Table1[[#This Row],[customer_name]]),"Unknown Customer",PROPER(SUBSTITUTE(Table1[[#This Row],[customer_name]],"Cust.","Customer")))</f>
        <v>Customer 58</v>
      </c>
      <c r="H60" t="str">
        <f>IFERROR(_xlfn.XLOOKUP(Table1[[#This Row],[region]],Mappings!$C$3:$C$8,Mappings!$D$3:$D$8,,0,1),"Unknown")</f>
        <v>Unknown</v>
      </c>
      <c r="I60" t="s">
        <v>14</v>
      </c>
      <c r="J60" t="str">
        <f>IFERROR(_xlfn.XLOOKUP(Table1[[#This Row],[sales_channel]],Table4[Original],Table4[Clean],,0,1),"Unknown")</f>
        <v>Online</v>
      </c>
      <c r="K60" t="s">
        <v>41</v>
      </c>
      <c r="L60" t="str">
        <f>IFERROR(_xlfn.XLOOKUP(Table1[[#This Row],[product]],Table3[Original],Table3[Product_clean],,0,1),"Unknown")</f>
        <v>Phone</v>
      </c>
      <c r="M60" s="6" t="s">
        <v>83</v>
      </c>
      <c r="N60">
        <f>IF(ISNUMBER(Table1[[#This Row],[quantity]]),Table1[[#This Row],[quantity]],IFERROR(VLOOKUP(Table1[[#This Row],[quantity]],Table5[#All],2,FALSE),"Unknown"))</f>
        <v>2</v>
      </c>
      <c r="O60">
        <v>1055.08</v>
      </c>
      <c r="P60">
        <f>IFERROR(VALUE(SUBSTITUTE(SUBSTITUTE(SUBSTITUTE(Table1[[#This Row],[revenue]],"EUR",""),"$",""),".",",")),"")</f>
        <v>1055.08</v>
      </c>
      <c r="Q60" t="s">
        <v>17</v>
      </c>
      <c r="R60" t="str">
        <f>IF(OR(Table1[[#This Row],[currency]]="EUR",Table1[[#This Row],[currency]]="€"),"EUR",IF(OR(Table1[[#This Row],[currency]]="USD",Table1[[#This Row],[currency]]="$"),"USD","Unknown"))</f>
        <v>EUR</v>
      </c>
      <c r="S60" t="s">
        <v>18</v>
      </c>
      <c r="T60" t="str">
        <f>IFERROR(_xlfn.XLOOKUP(Table1[[#This Row],[order_status]],Table8[Original],Table8[Clean],,0,1),"Unknown")</f>
        <v>Pending</v>
      </c>
      <c r="V60" t="str">
        <f>IF(ISNUMBER(Table1[[#This Row],[delivery_days]]),Table1[[#This Row],[delivery_days]],IFERROR(_xlfn.XLOOKUP(Table1[[#This Row],[delivery_days]],Table57[Original],Table57[Clean],,0,1),"Unknown"))</f>
        <v>Unknown</v>
      </c>
    </row>
    <row r="61" spans="1:23" x14ac:dyDescent="0.3">
      <c r="A61">
        <v>1059</v>
      </c>
      <c r="B61" t="str">
        <f>IF(ISBLANK(Table1[[#This Row],[order_id]]),"",IF(LEFT(Table1[[#This Row],[order_id]],3)="ORD",Table1[[#This Row],[order_id]],"ORD-" &amp; Table1[[#This Row],[order_id]]))</f>
        <v>ORD-1059</v>
      </c>
      <c r="C61" t="s">
        <v>166</v>
      </c>
      <c r="D61" s="1">
        <f>IFERROR(DATEVALUE(Table1[[#This Row],[order_date]]),"")</f>
        <v>45369</v>
      </c>
      <c r="E61" t="s">
        <v>167</v>
      </c>
      <c r="F61" t="str">
        <f>IF(ISBLANK(Table1[[#This Row],[customer_name]]),"Unknown Customer",PROPER(SUBSTITUTE(Table1[[#This Row],[customer_name]],"Cust.","Customer")))</f>
        <v>Customer 59</v>
      </c>
      <c r="G61" t="s">
        <v>45</v>
      </c>
      <c r="H61" t="str">
        <f>IFERROR(_xlfn.XLOOKUP(Table1[[#This Row],[region]],Mappings!$C$3:$C$8,Mappings!$D$3:$D$8,,0,1),"Unknown")</f>
        <v>USA</v>
      </c>
      <c r="I61" t="s">
        <v>78</v>
      </c>
      <c r="J61" t="str">
        <f>IFERROR(_xlfn.XLOOKUP(Table1[[#This Row],[sales_channel]],Table4[Original],Table4[Clean],,0,1),"Unknown")</f>
        <v>Mobile</v>
      </c>
      <c r="K61" t="s">
        <v>33</v>
      </c>
      <c r="L61" t="str">
        <f>IFERROR(_xlfn.XLOOKUP(Table1[[#This Row],[product]],Table3[Original],Table3[Product_clean],,0,1),"Unknown")</f>
        <v>Tablet</v>
      </c>
      <c r="M61" s="6"/>
      <c r="N61" t="str">
        <f>IF(ISNUMBER(Table1[[#This Row],[quantity]]),Table1[[#This Row],[quantity]],IFERROR(VLOOKUP(Table1[[#This Row],[quantity]],Table5[#All],2,FALSE),"Unknown"))</f>
        <v>Unknown</v>
      </c>
      <c r="O61" t="s">
        <v>168</v>
      </c>
      <c r="P61">
        <f>IFERROR(VALUE(SUBSTITUTE(SUBSTITUTE(SUBSTITUTE(Table1[[#This Row],[revenue]],"EUR",""),"$",""),".",",")),"")</f>
        <v>490.13</v>
      </c>
      <c r="R61" t="str">
        <f>IF(OR(Table1[[#This Row],[currency]]="EUR",Table1[[#This Row],[currency]]="€"),"EUR",IF(OR(Table1[[#This Row],[currency]]="USD",Table1[[#This Row],[currency]]="$"),"USD","Unknown"))</f>
        <v>Unknown</v>
      </c>
      <c r="S61" t="s">
        <v>23</v>
      </c>
      <c r="T61" t="str">
        <f>IFERROR(_xlfn.XLOOKUP(Table1[[#This Row],[order_status]],Table8[Original],Table8[Clean],,0,1),"Unknown")</f>
        <v>Delivered</v>
      </c>
      <c r="U61" t="s">
        <v>36</v>
      </c>
      <c r="V61">
        <f>IF(ISNUMBER(Table1[[#This Row],[delivery_days]]),Table1[[#This Row],[delivery_days]],IFERROR(_xlfn.XLOOKUP(Table1[[#This Row],[delivery_days]],Table57[Original],Table57[Clean],,0,1),"Unknown"))</f>
        <v>5</v>
      </c>
    </row>
    <row r="62" spans="1:23" x14ac:dyDescent="0.3">
      <c r="B62" t="str">
        <f>IF(ISBLANK(Table1[[#This Row],[order_id]]),"",IF(LEFT(Table1[[#This Row],[order_id]],3)="ORD",Table1[[#This Row],[order_id]],"ORD-" &amp; Table1[[#This Row],[order_id]]))</f>
        <v/>
      </c>
      <c r="D62" s="1" t="str">
        <f>IFERROR(DATEVALUE(Table1[[#This Row],[order_date]]),"")</f>
        <v/>
      </c>
      <c r="E62" t="s">
        <v>169</v>
      </c>
      <c r="F62" t="str">
        <f>IF(ISBLANK(Table1[[#This Row],[customer_name]]),"Unknown Customer",PROPER(SUBSTITUTE(Table1[[#This Row],[customer_name]],"Cust.","Customer")))</f>
        <v>Customer 60</v>
      </c>
      <c r="G62" t="s">
        <v>45</v>
      </c>
      <c r="H62" t="str">
        <f>IFERROR(_xlfn.XLOOKUP(Table1[[#This Row],[region]],Mappings!$C$3:$C$8,Mappings!$D$3:$D$8,,0,1),"Unknown")</f>
        <v>USA</v>
      </c>
      <c r="I62" t="s">
        <v>68</v>
      </c>
      <c r="J62" t="str">
        <f>IFERROR(_xlfn.XLOOKUP(Table1[[#This Row],[sales_channel]],Table4[Original],Table4[Clean],,0,1),"Unknown")</f>
        <v>Online</v>
      </c>
      <c r="K62" t="s">
        <v>51</v>
      </c>
      <c r="L62" t="str">
        <f>IFERROR(_xlfn.XLOOKUP(Table1[[#This Row],[product]],Table3[Original],Table3[Product_clean],,0,1),"Unknown")</f>
        <v>Laptop</v>
      </c>
      <c r="M62" s="6"/>
      <c r="N62" t="str">
        <f>IF(ISNUMBER(Table1[[#This Row],[quantity]]),Table1[[#This Row],[quantity]],IFERROR(VLOOKUP(Table1[[#This Row],[quantity]],Table5[#All],2,FALSE),"Unknown"))</f>
        <v>Unknown</v>
      </c>
      <c r="O62" t="s">
        <v>170</v>
      </c>
      <c r="P62">
        <f>IFERROR(VALUE(SUBSTITUTE(SUBSTITUTE(SUBSTITUTE(Table1[[#This Row],[revenue]],"EUR",""),"$",""),".",",")),"")</f>
        <v>2730.09</v>
      </c>
      <c r="Q62" t="s">
        <v>17</v>
      </c>
      <c r="R62" t="str">
        <f>IF(OR(Table1[[#This Row],[currency]]="EUR",Table1[[#This Row],[currency]]="€"),"EUR",IF(OR(Table1[[#This Row],[currency]]="USD",Table1[[#This Row],[currency]]="$"),"USD","Unknown"))</f>
        <v>EUR</v>
      </c>
      <c r="S62" t="s">
        <v>23</v>
      </c>
      <c r="T62" t="str">
        <f>IFERROR(_xlfn.XLOOKUP(Table1[[#This Row],[order_status]],Table8[Original],Table8[Clean],,0,1),"Unknown")</f>
        <v>Delivered</v>
      </c>
      <c r="V62" t="str">
        <f>IF(ISNUMBER(Table1[[#This Row],[delivery_days]]),Table1[[#This Row],[delivery_days]],IFERROR(_xlfn.XLOOKUP(Table1[[#This Row],[delivery_days]],Table57[Original],Table57[Clean],,0,1),"Unknown"))</f>
        <v>Unknown</v>
      </c>
      <c r="W62" t="s">
        <v>37</v>
      </c>
    </row>
    <row r="63" spans="1:23" x14ac:dyDescent="0.3">
      <c r="A63">
        <v>1061</v>
      </c>
      <c r="B63" t="str">
        <f>IF(ISBLANK(Table1[[#This Row],[order_id]]),"",IF(LEFT(Table1[[#This Row],[order_id]],3)="ORD",Table1[[#This Row],[order_id]],"ORD-" &amp; Table1[[#This Row],[order_id]]))</f>
        <v>ORD-1061</v>
      </c>
      <c r="C63" t="s">
        <v>69</v>
      </c>
      <c r="D63" s="1">
        <f>IFERROR(DATEVALUE(Table1[[#This Row],[order_date]]),"")</f>
        <v>45427</v>
      </c>
      <c r="E63" t="s">
        <v>171</v>
      </c>
      <c r="F63" t="str">
        <f>IF(ISBLANK(Table1[[#This Row],[customer_name]]),"Unknown Customer",PROPER(SUBSTITUTE(Table1[[#This Row],[customer_name]],"Cust.","Customer")))</f>
        <v>Customer 61</v>
      </c>
      <c r="G63" t="s">
        <v>54</v>
      </c>
      <c r="H63" t="str">
        <f>IFERROR(_xlfn.XLOOKUP(Table1[[#This Row],[region]],Mappings!$C$3:$C$8,Mappings!$D$3:$D$8,,0,1),"Unknown")</f>
        <v>USA</v>
      </c>
      <c r="I63" t="s">
        <v>14</v>
      </c>
      <c r="J63" t="str">
        <f>IFERROR(_xlfn.XLOOKUP(Table1[[#This Row],[sales_channel]],Table4[Original],Table4[Clean],,0,1),"Unknown")</f>
        <v>Online</v>
      </c>
      <c r="K63" t="s">
        <v>41</v>
      </c>
      <c r="L63" t="str">
        <f>IFERROR(_xlfn.XLOOKUP(Table1[[#This Row],[product]],Table3[Original],Table3[Product_clean],,0,1),"Unknown")</f>
        <v>Phone</v>
      </c>
      <c r="M63" s="6" t="s">
        <v>83</v>
      </c>
      <c r="N63">
        <f>IF(ISNUMBER(Table1[[#This Row],[quantity]]),Table1[[#This Row],[quantity]],IFERROR(VLOOKUP(Table1[[#This Row],[quantity]],Table5[#All],2,FALSE),"Unknown"))</f>
        <v>2</v>
      </c>
      <c r="O63" t="s">
        <v>172</v>
      </c>
      <c r="P63">
        <f>IFERROR(VALUE(SUBSTITUTE(SUBSTITUTE(SUBSTITUTE(Table1[[#This Row],[revenue]],"EUR",""),"$",""),".",",")),"")</f>
        <v>1998.26</v>
      </c>
      <c r="R63" t="str">
        <f>IF(OR(Table1[[#This Row],[currency]]="EUR",Table1[[#This Row],[currency]]="€"),"EUR",IF(OR(Table1[[#This Row],[currency]]="USD",Table1[[#This Row],[currency]]="$"),"USD","Unknown"))</f>
        <v>Unknown</v>
      </c>
      <c r="S63" t="s">
        <v>47</v>
      </c>
      <c r="T63" t="str">
        <f>IFERROR(_xlfn.XLOOKUP(Table1[[#This Row],[order_status]],Table8[Original],Table8[Clean],,0,1),"Unknown")</f>
        <v>Returned</v>
      </c>
      <c r="U63">
        <v>3</v>
      </c>
      <c r="V63">
        <f>IF(ISNUMBER(Table1[[#This Row],[delivery_days]]),Table1[[#This Row],[delivery_days]],IFERROR(_xlfn.XLOOKUP(Table1[[#This Row],[delivery_days]],Table57[Original],Table57[Clean],,0,1),"Unknown"))</f>
        <v>3</v>
      </c>
    </row>
    <row r="64" spans="1:23" x14ac:dyDescent="0.3">
      <c r="B64" t="str">
        <f>IF(ISBLANK(Table1[[#This Row],[order_id]]),"",IF(LEFT(Table1[[#This Row],[order_id]],3)="ORD",Table1[[#This Row],[order_id]],"ORD-" &amp; Table1[[#This Row],[order_id]]))</f>
        <v/>
      </c>
      <c r="D64" s="1" t="str">
        <f>IFERROR(DATEVALUE(Table1[[#This Row],[order_date]]),"")</f>
        <v/>
      </c>
      <c r="E64" t="s">
        <v>173</v>
      </c>
      <c r="F64" t="str">
        <f>IF(ISBLANK(Table1[[#This Row],[customer_name]]),"Unknown Customer",PROPER(SUBSTITUTE(Table1[[#This Row],[customer_name]],"Cust.","Customer")))</f>
        <v>Customer 62</v>
      </c>
      <c r="H64" t="str">
        <f>IFERROR(_xlfn.XLOOKUP(Table1[[#This Row],[region]],Mappings!$C$3:$C$8,Mappings!$D$3:$D$8,,0,1),"Unknown")</f>
        <v>Unknown</v>
      </c>
      <c r="I64" t="s">
        <v>27</v>
      </c>
      <c r="J64" t="str">
        <f>IFERROR(_xlfn.XLOOKUP(Table1[[#This Row],[sales_channel]],Table4[Original],Table4[Clean],,0,1),"Unknown")</f>
        <v>Online</v>
      </c>
      <c r="K64" t="s">
        <v>102</v>
      </c>
      <c r="L64" t="str">
        <f>IFERROR(_xlfn.XLOOKUP(Table1[[#This Row],[product]],Table3[Original],Table3[Product_clean],,0,1),"Unknown")</f>
        <v>Phone</v>
      </c>
      <c r="M64" s="6"/>
      <c r="N64" t="str">
        <f>IF(ISNUMBER(Table1[[#This Row],[quantity]]),Table1[[#This Row],[quantity]],IFERROR(VLOOKUP(Table1[[#This Row],[quantity]],Table5[#All],2,FALSE),"Unknown"))</f>
        <v>Unknown</v>
      </c>
      <c r="O64" t="s">
        <v>174</v>
      </c>
      <c r="P64">
        <f>IFERROR(VALUE(SUBSTITUTE(SUBSTITUTE(SUBSTITUTE(Table1[[#This Row],[revenue]],"EUR",""),"$",""),".",",")),"")</f>
        <v>899.91</v>
      </c>
      <c r="Q64" t="s">
        <v>58</v>
      </c>
      <c r="R64" t="str">
        <f>IF(OR(Table1[[#This Row],[currency]]="EUR",Table1[[#This Row],[currency]]="€"),"EUR",IF(OR(Table1[[#This Row],[currency]]="USD",Table1[[#This Row],[currency]]="$"),"USD","Unknown"))</f>
        <v>USD</v>
      </c>
      <c r="S64" t="s">
        <v>47</v>
      </c>
      <c r="T64" t="str">
        <f>IFERROR(_xlfn.XLOOKUP(Table1[[#This Row],[order_status]],Table8[Original],Table8[Clean],,0,1),"Unknown")</f>
        <v>Returned</v>
      </c>
      <c r="U64">
        <v>1</v>
      </c>
      <c r="V64">
        <f>IF(ISNUMBER(Table1[[#This Row],[delivery_days]]),Table1[[#This Row],[delivery_days]],IFERROR(_xlfn.XLOOKUP(Table1[[#This Row],[delivery_days]],Table57[Original],Table57[Clean],,0,1),"Unknown"))</f>
        <v>1</v>
      </c>
      <c r="W64" t="s">
        <v>37</v>
      </c>
    </row>
    <row r="65" spans="1:23" x14ac:dyDescent="0.3">
      <c r="A65">
        <v>1063</v>
      </c>
      <c r="B65" t="str">
        <f>IF(ISBLANK(Table1[[#This Row],[order_id]]),"",IF(LEFT(Table1[[#This Row],[order_id]],3)="ORD",Table1[[#This Row],[order_id]],"ORD-" &amp; Table1[[#This Row],[order_id]]))</f>
        <v>ORD-1063</v>
      </c>
      <c r="C65" t="s">
        <v>175</v>
      </c>
      <c r="D65" s="1">
        <f>IFERROR(DATEVALUE(Table1[[#This Row],[order_date]]),"")</f>
        <v>45623</v>
      </c>
      <c r="E65" t="s">
        <v>176</v>
      </c>
      <c r="F65" t="str">
        <f>IF(ISBLANK(Table1[[#This Row],[customer_name]]),"Unknown Customer",PROPER(SUBSTITUTE(Table1[[#This Row],[customer_name]],"Cust.","Customer")))</f>
        <v>Customer 63</v>
      </c>
      <c r="G65" t="s">
        <v>54</v>
      </c>
      <c r="H65" t="str">
        <f>IFERROR(_xlfn.XLOOKUP(Table1[[#This Row],[region]],Mappings!$C$3:$C$8,Mappings!$D$3:$D$8,,0,1),"Unknown")</f>
        <v>USA</v>
      </c>
      <c r="I65" t="s">
        <v>50</v>
      </c>
      <c r="J65" t="str">
        <f>IFERROR(_xlfn.XLOOKUP(Table1[[#This Row],[sales_channel]],Table4[Original],Table4[Clean],,0,1),"Unknown")</f>
        <v>Mobile</v>
      </c>
      <c r="K65" t="s">
        <v>33</v>
      </c>
      <c r="L65" t="str">
        <f>IFERROR(_xlfn.XLOOKUP(Table1[[#This Row],[product]],Table3[Original],Table3[Product_clean],,0,1),"Unknown")</f>
        <v>Tablet</v>
      </c>
      <c r="M65" s="6"/>
      <c r="N65" t="str">
        <f>IF(ISNUMBER(Table1[[#This Row],[quantity]]),Table1[[#This Row],[quantity]],IFERROR(VLOOKUP(Table1[[#This Row],[quantity]],Table5[#All],2,FALSE),"Unknown"))</f>
        <v>Unknown</v>
      </c>
      <c r="O65" t="s">
        <v>177</v>
      </c>
      <c r="P65">
        <f>IFERROR(VALUE(SUBSTITUTE(SUBSTITUTE(SUBSTITUTE(Table1[[#This Row],[revenue]],"EUR",""),"$",""),".",",")),"")</f>
        <v>489.52</v>
      </c>
      <c r="Q65" t="s">
        <v>55</v>
      </c>
      <c r="R65" t="str">
        <f>IF(OR(Table1[[#This Row],[currency]]="EUR",Table1[[#This Row],[currency]]="€"),"EUR",IF(OR(Table1[[#This Row],[currency]]="USD",Table1[[#This Row],[currency]]="$"),"USD","Unknown"))</f>
        <v>EUR</v>
      </c>
      <c r="S65" t="s">
        <v>47</v>
      </c>
      <c r="T65" t="str">
        <f>IFERROR(_xlfn.XLOOKUP(Table1[[#This Row],[order_status]],Table8[Original],Table8[Clean],,0,1),"Unknown")</f>
        <v>Returned</v>
      </c>
      <c r="U65">
        <v>1</v>
      </c>
      <c r="V65">
        <f>IF(ISNUMBER(Table1[[#This Row],[delivery_days]]),Table1[[#This Row],[delivery_days]],IFERROR(_xlfn.XLOOKUP(Table1[[#This Row],[delivery_days]],Table57[Original],Table57[Clean],,0,1),"Unknown"))</f>
        <v>1</v>
      </c>
    </row>
    <row r="66" spans="1:23" x14ac:dyDescent="0.3">
      <c r="A66" t="s">
        <v>178</v>
      </c>
      <c r="B66" t="str">
        <f>IF(ISBLANK(Table1[[#This Row],[order_id]]),"",IF(LEFT(Table1[[#This Row],[order_id]],3)="ORD",Table1[[#This Row],[order_id]],"ORD-" &amp; Table1[[#This Row],[order_id]]))</f>
        <v>ORD-1064</v>
      </c>
      <c r="D66" s="1" t="str">
        <f>IFERROR(DATEVALUE(Table1[[#This Row],[order_date]]),"")</f>
        <v/>
      </c>
      <c r="F66" t="str">
        <f>IF(ISBLANK(Table1[[#This Row],[customer_name]]),"Unknown Customer",PROPER(SUBSTITUTE(Table1[[#This Row],[customer_name]],"Cust.","Customer")))</f>
        <v>Unknown Customer</v>
      </c>
      <c r="G66" t="s">
        <v>73</v>
      </c>
      <c r="H66" t="str">
        <f>IFERROR(_xlfn.XLOOKUP(Table1[[#This Row],[region]],Mappings!$C$3:$C$8,Mappings!$D$3:$D$8,,0,1),"Unknown")</f>
        <v>Europe</v>
      </c>
      <c r="I66" t="s">
        <v>68</v>
      </c>
      <c r="J66" t="str">
        <f>IFERROR(_xlfn.XLOOKUP(Table1[[#This Row],[sales_channel]],Table4[Original],Table4[Clean],,0,1),"Unknown")</f>
        <v>Online</v>
      </c>
      <c r="K66" t="s">
        <v>51</v>
      </c>
      <c r="L66" t="str">
        <f>IFERROR(_xlfn.XLOOKUP(Table1[[#This Row],[product]],Table3[Original],Table3[Product_clean],,0,1),"Unknown")</f>
        <v>Laptop</v>
      </c>
      <c r="M66" s="6" t="s">
        <v>83</v>
      </c>
      <c r="N66">
        <f>IF(ISNUMBER(Table1[[#This Row],[quantity]]),Table1[[#This Row],[quantity]],IFERROR(VLOOKUP(Table1[[#This Row],[quantity]],Table5[#All],2,FALSE),"Unknown"))</f>
        <v>2</v>
      </c>
      <c r="P66" t="str">
        <f>IFERROR(VALUE(SUBSTITUTE(SUBSTITUTE(SUBSTITUTE(Table1[[#This Row],[revenue]],"EUR",""),"$",""),".",",")),"")</f>
        <v/>
      </c>
      <c r="Q66" t="s">
        <v>55</v>
      </c>
      <c r="R66" t="str">
        <f>IF(OR(Table1[[#This Row],[currency]]="EUR",Table1[[#This Row],[currency]]="€"),"EUR",IF(OR(Table1[[#This Row],[currency]]="USD",Table1[[#This Row],[currency]]="$"),"USD","Unknown"))</f>
        <v>EUR</v>
      </c>
      <c r="S66" t="s">
        <v>18</v>
      </c>
      <c r="T66" t="str">
        <f>IFERROR(_xlfn.XLOOKUP(Table1[[#This Row],[order_status]],Table8[Original],Table8[Clean],,0,1),"Unknown")</f>
        <v>Pending</v>
      </c>
      <c r="U66">
        <v>3</v>
      </c>
      <c r="V66">
        <f>IF(ISNUMBER(Table1[[#This Row],[delivery_days]]),Table1[[#This Row],[delivery_days]],IFERROR(_xlfn.XLOOKUP(Table1[[#This Row],[delivery_days]],Table57[Original],Table57[Clean],,0,1),"Unknown"))</f>
        <v>3</v>
      </c>
    </row>
    <row r="67" spans="1:23" x14ac:dyDescent="0.3">
      <c r="B67" t="str">
        <f>IF(ISBLANK(Table1[[#This Row],[order_id]]),"",IF(LEFT(Table1[[#This Row],[order_id]],3)="ORD",Table1[[#This Row],[order_id]],"ORD-" &amp; Table1[[#This Row],[order_id]]))</f>
        <v/>
      </c>
      <c r="C67" t="s">
        <v>179</v>
      </c>
      <c r="D67" s="1" t="str">
        <f>IFERROR(DATEVALUE(Table1[[#This Row],[order_date]]),"")</f>
        <v/>
      </c>
      <c r="E67" t="s">
        <v>180</v>
      </c>
      <c r="F67" t="str">
        <f>IF(ISBLANK(Table1[[#This Row],[customer_name]]),"Unknown Customer",PROPER(SUBSTITUTE(Table1[[#This Row],[customer_name]],"Cust.","Customer")))</f>
        <v>Customer 65</v>
      </c>
      <c r="H67" t="str">
        <f>IFERROR(_xlfn.XLOOKUP(Table1[[#This Row],[region]],Mappings!$C$3:$C$8,Mappings!$D$3:$D$8,,0,1),"Unknown")</f>
        <v>Unknown</v>
      </c>
      <c r="I67" t="s">
        <v>27</v>
      </c>
      <c r="J67" t="str">
        <f>IFERROR(_xlfn.XLOOKUP(Table1[[#This Row],[sales_channel]],Table4[Original],Table4[Clean],,0,1),"Unknown")</f>
        <v>Online</v>
      </c>
      <c r="K67" t="s">
        <v>41</v>
      </c>
      <c r="L67" t="str">
        <f>IFERROR(_xlfn.XLOOKUP(Table1[[#This Row],[product]],Table3[Original],Table3[Product_clean],,0,1),"Unknown")</f>
        <v>Phone</v>
      </c>
      <c r="M67" s="6"/>
      <c r="N67" t="str">
        <f>IF(ISNUMBER(Table1[[#This Row],[quantity]]),Table1[[#This Row],[quantity]],IFERROR(VLOOKUP(Table1[[#This Row],[quantity]],Table5[#All],2,FALSE),"Unknown"))</f>
        <v>Unknown</v>
      </c>
      <c r="O67">
        <v>725.33</v>
      </c>
      <c r="P67">
        <f>IFERROR(VALUE(SUBSTITUTE(SUBSTITUTE(SUBSTITUTE(Table1[[#This Row],[revenue]],"EUR",""),"$",""),".",",")),"")</f>
        <v>725.33</v>
      </c>
      <c r="Q67" t="s">
        <v>22</v>
      </c>
      <c r="R67" t="str">
        <f>IF(OR(Table1[[#This Row],[currency]]="EUR",Table1[[#This Row],[currency]]="€"),"EUR",IF(OR(Table1[[#This Row],[currency]]="USD",Table1[[#This Row],[currency]]="$"),"USD","Unknown"))</f>
        <v>USD</v>
      </c>
      <c r="S67" t="s">
        <v>35</v>
      </c>
      <c r="T67" t="str">
        <f>IFERROR(_xlfn.XLOOKUP(Table1[[#This Row],[order_status]],Table8[Original],Table8[Clean],,0,1),"Unknown")</f>
        <v>Returned</v>
      </c>
      <c r="U67">
        <v>2</v>
      </c>
      <c r="V67">
        <f>IF(ISNUMBER(Table1[[#This Row],[delivery_days]]),Table1[[#This Row],[delivery_days]],IFERROR(_xlfn.XLOOKUP(Table1[[#This Row],[delivery_days]],Table57[Original],Table57[Clean],,0,1),"Unknown"))</f>
        <v>2</v>
      </c>
    </row>
    <row r="68" spans="1:23" x14ac:dyDescent="0.3">
      <c r="A68" t="s">
        <v>181</v>
      </c>
      <c r="B68" t="str">
        <f>IF(ISBLANK(Table1[[#This Row],[order_id]]),"",IF(LEFT(Table1[[#This Row],[order_id]],3)="ORD",Table1[[#This Row],[order_id]],"ORD-" &amp; Table1[[#This Row],[order_id]]))</f>
        <v>ORD-1066</v>
      </c>
      <c r="C68" t="s">
        <v>182</v>
      </c>
      <c r="D68" s="1" t="str">
        <f>IFERROR(DATEVALUE(Table1[[#This Row],[order_date]]),"")</f>
        <v/>
      </c>
      <c r="F68" t="str">
        <f>IF(ISBLANK(Table1[[#This Row],[customer_name]]),"Unknown Customer",PROPER(SUBSTITUTE(Table1[[#This Row],[customer_name]],"Cust.","Customer")))</f>
        <v>Unknown Customer</v>
      </c>
      <c r="G68" t="s">
        <v>26</v>
      </c>
      <c r="H68" t="str">
        <f>IFERROR(_xlfn.XLOOKUP(Table1[[#This Row],[region]],Mappings!$C$3:$C$8,Mappings!$D$3:$D$8,,0,1),"Unknown")</f>
        <v>Asia</v>
      </c>
      <c r="I68" t="s">
        <v>50</v>
      </c>
      <c r="J68" t="str">
        <f>IFERROR(_xlfn.XLOOKUP(Table1[[#This Row],[sales_channel]],Table4[Original],Table4[Clean],,0,1),"Unknown")</f>
        <v>Mobile</v>
      </c>
      <c r="K68" t="s">
        <v>15</v>
      </c>
      <c r="L68" t="str">
        <f>IFERROR(_xlfn.XLOOKUP(Table1[[#This Row],[product]],Table3[Original],Table3[Product_clean],,0,1),"Unknown")</f>
        <v>Tablet</v>
      </c>
      <c r="M68" s="6">
        <v>1</v>
      </c>
      <c r="N68">
        <f>IF(ISNUMBER(Table1[[#This Row],[quantity]]),Table1[[#This Row],[quantity]],IFERROR(VLOOKUP(Table1[[#This Row],[quantity]],Table5[#All],2,FALSE),"Unknown"))</f>
        <v>1</v>
      </c>
      <c r="O68">
        <v>2452.02</v>
      </c>
      <c r="P68">
        <f>IFERROR(VALUE(SUBSTITUTE(SUBSTITUTE(SUBSTITUTE(Table1[[#This Row],[revenue]],"EUR",""),"$",""),".",",")),"")</f>
        <v>2452.02</v>
      </c>
      <c r="Q68" t="s">
        <v>58</v>
      </c>
      <c r="R68" t="str">
        <f>IF(OR(Table1[[#This Row],[currency]]="EUR",Table1[[#This Row],[currency]]="€"),"EUR",IF(OR(Table1[[#This Row],[currency]]="USD",Table1[[#This Row],[currency]]="$"),"USD","Unknown"))</f>
        <v>USD</v>
      </c>
      <c r="S68" t="s">
        <v>35</v>
      </c>
      <c r="T68" t="str">
        <f>IFERROR(_xlfn.XLOOKUP(Table1[[#This Row],[order_status]],Table8[Original],Table8[Clean],,0,1),"Unknown")</f>
        <v>Returned</v>
      </c>
      <c r="U68">
        <v>5</v>
      </c>
      <c r="V68">
        <f>IF(ISNUMBER(Table1[[#This Row],[delivery_days]]),Table1[[#This Row],[delivery_days]],IFERROR(_xlfn.XLOOKUP(Table1[[#This Row],[delivery_days]],Table57[Original],Table57[Clean],,0,1),"Unknown"))</f>
        <v>5</v>
      </c>
    </row>
    <row r="69" spans="1:23" x14ac:dyDescent="0.3">
      <c r="B69" t="str">
        <f>IF(ISBLANK(Table1[[#This Row],[order_id]]),"",IF(LEFT(Table1[[#This Row],[order_id]],3)="ORD",Table1[[#This Row],[order_id]],"ORD-" &amp; Table1[[#This Row],[order_id]]))</f>
        <v/>
      </c>
      <c r="C69" t="s">
        <v>183</v>
      </c>
      <c r="D69" s="1">
        <f>IFERROR(DATEVALUE(Table1[[#This Row],[order_date]]),"")</f>
        <v>45439</v>
      </c>
      <c r="F69" t="str">
        <f>IF(ISBLANK(Table1[[#This Row],[customer_name]]),"Unknown Customer",PROPER(SUBSTITUTE(Table1[[#This Row],[customer_name]],"Cust.","Customer")))</f>
        <v>Unknown Customer</v>
      </c>
      <c r="G69" t="s">
        <v>73</v>
      </c>
      <c r="H69" t="str">
        <f>IFERROR(_xlfn.XLOOKUP(Table1[[#This Row],[region]],Mappings!$C$3:$C$8,Mappings!$D$3:$D$8,,0,1),"Unknown")</f>
        <v>Europe</v>
      </c>
      <c r="I69" t="s">
        <v>50</v>
      </c>
      <c r="J69" t="str">
        <f>IFERROR(_xlfn.XLOOKUP(Table1[[#This Row],[sales_channel]],Table4[Original],Table4[Clean],,0,1),"Unknown")</f>
        <v>Mobile</v>
      </c>
      <c r="K69" t="s">
        <v>102</v>
      </c>
      <c r="L69" t="str">
        <f>IFERROR(_xlfn.XLOOKUP(Table1[[#This Row],[product]],Table3[Original],Table3[Product_clean],,0,1),"Unknown")</f>
        <v>Phone</v>
      </c>
      <c r="M69" s="6">
        <v>3</v>
      </c>
      <c r="N69">
        <f>IF(ISNUMBER(Table1[[#This Row],[quantity]]),Table1[[#This Row],[quantity]],IFERROR(VLOOKUP(Table1[[#This Row],[quantity]],Table5[#All],2,FALSE),"Unknown"))</f>
        <v>3</v>
      </c>
      <c r="P69" t="str">
        <f>IFERROR(VALUE(SUBSTITUTE(SUBSTITUTE(SUBSTITUTE(Table1[[#This Row],[revenue]],"EUR",""),"$",""),".",",")),"")</f>
        <v/>
      </c>
      <c r="Q69" t="s">
        <v>17</v>
      </c>
      <c r="R69" t="str">
        <f>IF(OR(Table1[[#This Row],[currency]]="EUR",Table1[[#This Row],[currency]]="€"),"EUR",IF(OR(Table1[[#This Row],[currency]]="USD",Table1[[#This Row],[currency]]="$"),"USD","Unknown"))</f>
        <v>EUR</v>
      </c>
      <c r="S69" t="s">
        <v>47</v>
      </c>
      <c r="T69" t="str">
        <f>IFERROR(_xlfn.XLOOKUP(Table1[[#This Row],[order_status]],Table8[Original],Table8[Clean],,0,1),"Unknown")</f>
        <v>Returned</v>
      </c>
      <c r="U69" t="s">
        <v>36</v>
      </c>
      <c r="V69">
        <f>IF(ISNUMBER(Table1[[#This Row],[delivery_days]]),Table1[[#This Row],[delivery_days]],IFERROR(_xlfn.XLOOKUP(Table1[[#This Row],[delivery_days]],Table57[Original],Table57[Clean],,0,1),"Unknown"))</f>
        <v>5</v>
      </c>
    </row>
    <row r="70" spans="1:23" x14ac:dyDescent="0.3">
      <c r="A70" t="s">
        <v>184</v>
      </c>
      <c r="B70" t="str">
        <f>IF(ISBLANK(Table1[[#This Row],[order_id]]),"",IF(LEFT(Table1[[#This Row],[order_id]],3)="ORD",Table1[[#This Row],[order_id]],"ORD-" &amp; Table1[[#This Row],[order_id]]))</f>
        <v>ORD-1068</v>
      </c>
      <c r="C70" t="s">
        <v>185</v>
      </c>
      <c r="D70" s="1">
        <f>IFERROR(DATEVALUE(Table1[[#This Row],[order_date]]),"")</f>
        <v>45628</v>
      </c>
      <c r="E70" t="s">
        <v>186</v>
      </c>
      <c r="F70" t="str">
        <f>IF(ISBLANK(Table1[[#This Row],[customer_name]]),"Unknown Customer",PROPER(SUBSTITUTE(Table1[[#This Row],[customer_name]],"Cust.","Customer")))</f>
        <v>Customer 68</v>
      </c>
      <c r="G70" t="s">
        <v>45</v>
      </c>
      <c r="H70" t="str">
        <f>IFERROR(_xlfn.XLOOKUP(Table1[[#This Row],[region]],Mappings!$C$3:$C$8,Mappings!$D$3:$D$8,,0,1),"Unknown")</f>
        <v>USA</v>
      </c>
      <c r="I70" t="s">
        <v>50</v>
      </c>
      <c r="J70" t="str">
        <f>IFERROR(_xlfn.XLOOKUP(Table1[[#This Row],[sales_channel]],Table4[Original],Table4[Clean],,0,1),"Unknown")</f>
        <v>Mobile</v>
      </c>
      <c r="K70" t="s">
        <v>33</v>
      </c>
      <c r="L70" t="str">
        <f>IFERROR(_xlfn.XLOOKUP(Table1[[#This Row],[product]],Table3[Original],Table3[Product_clean],,0,1),"Unknown")</f>
        <v>Tablet</v>
      </c>
      <c r="M70" s="6" t="s">
        <v>83</v>
      </c>
      <c r="N70">
        <f>IF(ISNUMBER(Table1[[#This Row],[quantity]]),Table1[[#This Row],[quantity]],IFERROR(VLOOKUP(Table1[[#This Row],[quantity]],Table5[#All],2,FALSE),"Unknown"))</f>
        <v>2</v>
      </c>
      <c r="P70" t="str">
        <f>IFERROR(VALUE(SUBSTITUTE(SUBSTITUTE(SUBSTITUTE(Table1[[#This Row],[revenue]],"EUR",""),"$",""),".",",")),"")</f>
        <v/>
      </c>
      <c r="Q70" t="s">
        <v>22</v>
      </c>
      <c r="R70" t="str">
        <f>IF(OR(Table1[[#This Row],[currency]]="EUR",Table1[[#This Row],[currency]]="€"),"EUR",IF(OR(Table1[[#This Row],[currency]]="USD",Table1[[#This Row],[currency]]="$"),"USD","Unknown"))</f>
        <v>USD</v>
      </c>
      <c r="S70" t="s">
        <v>30</v>
      </c>
      <c r="T70" t="str">
        <f>IFERROR(_xlfn.XLOOKUP(Table1[[#This Row],[order_status]],Table8[Original],Table8[Clean],,0,1),"Unknown")</f>
        <v>Delivered</v>
      </c>
      <c r="U70">
        <v>2</v>
      </c>
      <c r="V70">
        <f>IF(ISNUMBER(Table1[[#This Row],[delivery_days]]),Table1[[#This Row],[delivery_days]],IFERROR(_xlfn.XLOOKUP(Table1[[#This Row],[delivery_days]],Table57[Original],Table57[Clean],,0,1),"Unknown"))</f>
        <v>2</v>
      </c>
      <c r="W70" t="s">
        <v>24</v>
      </c>
    </row>
    <row r="71" spans="1:23" x14ac:dyDescent="0.3">
      <c r="A71" t="s">
        <v>187</v>
      </c>
      <c r="B71" t="str">
        <f>IF(ISBLANK(Table1[[#This Row],[order_id]]),"",IF(LEFT(Table1[[#This Row],[order_id]],3)="ORD",Table1[[#This Row],[order_id]],"ORD-" &amp; Table1[[#This Row],[order_id]]))</f>
        <v>ORD-1069</v>
      </c>
      <c r="D71" s="1" t="str">
        <f>IFERROR(DATEVALUE(Table1[[#This Row],[order_date]]),"")</f>
        <v/>
      </c>
      <c r="E71" t="s">
        <v>188</v>
      </c>
      <c r="F71" t="str">
        <f>IF(ISBLANK(Table1[[#This Row],[customer_name]]),"Unknown Customer",PROPER(SUBSTITUTE(Table1[[#This Row],[customer_name]],"Cust.","Customer")))</f>
        <v>Customer 69</v>
      </c>
      <c r="G71" t="s">
        <v>73</v>
      </c>
      <c r="H71" t="str">
        <f>IFERROR(_xlfn.XLOOKUP(Table1[[#This Row],[region]],Mappings!$C$3:$C$8,Mappings!$D$3:$D$8,,0,1),"Unknown")</f>
        <v>Europe</v>
      </c>
      <c r="J71" t="str">
        <f>IFERROR(_xlfn.XLOOKUP(Table1[[#This Row],[sales_channel]],Table4[Original],Table4[Clean],,0,1),"Unknown")</f>
        <v>Unknown</v>
      </c>
      <c r="K71" t="s">
        <v>33</v>
      </c>
      <c r="L71" t="str">
        <f>IFERROR(_xlfn.XLOOKUP(Table1[[#This Row],[product]],Table3[Original],Table3[Product_clean],,0,1),"Unknown")</f>
        <v>Tablet</v>
      </c>
      <c r="M71" s="6">
        <v>2</v>
      </c>
      <c r="N71">
        <f>IF(ISNUMBER(Table1[[#This Row],[quantity]]),Table1[[#This Row],[quantity]],IFERROR(VLOOKUP(Table1[[#This Row],[quantity]],Table5[#All],2,FALSE),"Unknown"))</f>
        <v>2</v>
      </c>
      <c r="O71" t="s">
        <v>189</v>
      </c>
      <c r="P71">
        <f>IFERROR(VALUE(SUBSTITUTE(SUBSTITUTE(SUBSTITUTE(Table1[[#This Row],[revenue]],"EUR",""),"$",""),".",",")),"")</f>
        <v>436.49</v>
      </c>
      <c r="Q71" t="s">
        <v>58</v>
      </c>
      <c r="R71" t="str">
        <f>IF(OR(Table1[[#This Row],[currency]]="EUR",Table1[[#This Row],[currency]]="€"),"EUR",IF(OR(Table1[[#This Row],[currency]]="USD",Table1[[#This Row],[currency]]="$"),"USD","Unknown"))</f>
        <v>USD</v>
      </c>
      <c r="S71" t="s">
        <v>35</v>
      </c>
      <c r="T71" t="str">
        <f>IFERROR(_xlfn.XLOOKUP(Table1[[#This Row],[order_status]],Table8[Original],Table8[Clean],,0,1),"Unknown")</f>
        <v>Returned</v>
      </c>
      <c r="U71" t="s">
        <v>36</v>
      </c>
      <c r="V71">
        <f>IF(ISNUMBER(Table1[[#This Row],[delivery_days]]),Table1[[#This Row],[delivery_days]],IFERROR(_xlfn.XLOOKUP(Table1[[#This Row],[delivery_days]],Table57[Original],Table57[Clean],,0,1),"Unknown"))</f>
        <v>5</v>
      </c>
    </row>
    <row r="72" spans="1:23" x14ac:dyDescent="0.3">
      <c r="A72">
        <v>1070</v>
      </c>
      <c r="B72" t="str">
        <f>IF(ISBLANK(Table1[[#This Row],[order_id]]),"",IF(LEFT(Table1[[#This Row],[order_id]],3)="ORD",Table1[[#This Row],[order_id]],"ORD-" &amp; Table1[[#This Row],[order_id]]))</f>
        <v>ORD-1070</v>
      </c>
      <c r="D72" s="1" t="str">
        <f>IFERROR(DATEVALUE(Table1[[#This Row],[order_date]]),"")</f>
        <v/>
      </c>
      <c r="E72" t="s">
        <v>190</v>
      </c>
      <c r="F72" t="str">
        <f>IF(ISBLANK(Table1[[#This Row],[customer_name]]),"Unknown Customer",PROPER(SUBSTITUTE(Table1[[#This Row],[customer_name]],"Cust.","Customer")))</f>
        <v>Customer 70</v>
      </c>
      <c r="H72" t="str">
        <f>IFERROR(_xlfn.XLOOKUP(Table1[[#This Row],[region]],Mappings!$C$3:$C$8,Mappings!$D$3:$D$8,,0,1),"Unknown")</f>
        <v>Unknown</v>
      </c>
      <c r="I72" t="s">
        <v>27</v>
      </c>
      <c r="J72" t="str">
        <f>IFERROR(_xlfn.XLOOKUP(Table1[[#This Row],[sales_channel]],Table4[Original],Table4[Clean],,0,1),"Unknown")</f>
        <v>Online</v>
      </c>
      <c r="K72" t="s">
        <v>41</v>
      </c>
      <c r="L72" t="str">
        <f>IFERROR(_xlfn.XLOOKUP(Table1[[#This Row],[product]],Table3[Original],Table3[Product_clean],,0,1),"Unknown")</f>
        <v>Phone</v>
      </c>
      <c r="M72" s="6">
        <v>3</v>
      </c>
      <c r="N72">
        <f>IF(ISNUMBER(Table1[[#This Row],[quantity]]),Table1[[#This Row],[quantity]],IFERROR(VLOOKUP(Table1[[#This Row],[quantity]],Table5[#All],2,FALSE),"Unknown"))</f>
        <v>3</v>
      </c>
      <c r="O72" t="s">
        <v>191</v>
      </c>
      <c r="P72">
        <f>IFERROR(VALUE(SUBSTITUTE(SUBSTITUTE(SUBSTITUTE(Table1[[#This Row],[revenue]],"EUR",""),"$",""),".",",")),"")</f>
        <v>1253.57</v>
      </c>
      <c r="R72" t="str">
        <f>IF(OR(Table1[[#This Row],[currency]]="EUR",Table1[[#This Row],[currency]]="€"),"EUR",IF(OR(Table1[[#This Row],[currency]]="USD",Table1[[#This Row],[currency]]="$"),"USD","Unknown"))</f>
        <v>Unknown</v>
      </c>
      <c r="T72" t="str">
        <f>IFERROR(_xlfn.XLOOKUP(Table1[[#This Row],[order_status]],Table8[Original],Table8[Clean],,0,1),"Unknown")</f>
        <v>Unknown</v>
      </c>
      <c r="U72">
        <v>3</v>
      </c>
      <c r="V72">
        <f>IF(ISNUMBER(Table1[[#This Row],[delivery_days]]),Table1[[#This Row],[delivery_days]],IFERROR(_xlfn.XLOOKUP(Table1[[#This Row],[delivery_days]],Table57[Original],Table57[Clean],,0,1),"Unknown"))</f>
        <v>3</v>
      </c>
    </row>
    <row r="73" spans="1:23" x14ac:dyDescent="0.3">
      <c r="A73" t="s">
        <v>192</v>
      </c>
      <c r="B73" t="str">
        <f>IF(ISBLANK(Table1[[#This Row],[order_id]]),"",IF(LEFT(Table1[[#This Row],[order_id]],3)="ORD",Table1[[#This Row],[order_id]],"ORD-" &amp; Table1[[#This Row],[order_id]]))</f>
        <v>ORD-1071</v>
      </c>
      <c r="C73" t="s">
        <v>193</v>
      </c>
      <c r="D73" s="1">
        <f>IFERROR(DATEVALUE(Table1[[#This Row],[order_date]]),"")</f>
        <v>45539</v>
      </c>
      <c r="F73" t="str">
        <f>IF(ISBLANK(Table1[[#This Row],[customer_name]]),"Unknown Customer",PROPER(SUBSTITUTE(Table1[[#This Row],[customer_name]],"Cust.","Customer")))</f>
        <v>Unknown Customer</v>
      </c>
      <c r="G73" t="s">
        <v>54</v>
      </c>
      <c r="H73" t="str">
        <f>IFERROR(_xlfn.XLOOKUP(Table1[[#This Row],[region]],Mappings!$C$3:$C$8,Mappings!$D$3:$D$8,,0,1),"Unknown")</f>
        <v>USA</v>
      </c>
      <c r="I73" t="s">
        <v>68</v>
      </c>
      <c r="J73" t="str">
        <f>IFERROR(_xlfn.XLOOKUP(Table1[[#This Row],[sales_channel]],Table4[Original],Table4[Clean],,0,1),"Unknown")</f>
        <v>Online</v>
      </c>
      <c r="K73" t="s">
        <v>33</v>
      </c>
      <c r="L73" t="str">
        <f>IFERROR(_xlfn.XLOOKUP(Table1[[#This Row],[product]],Table3[Original],Table3[Product_clean],,0,1),"Unknown")</f>
        <v>Tablet</v>
      </c>
      <c r="M73" s="6">
        <v>2</v>
      </c>
      <c r="N73">
        <f>IF(ISNUMBER(Table1[[#This Row],[quantity]]),Table1[[#This Row],[quantity]],IFERROR(VLOOKUP(Table1[[#This Row],[quantity]],Table5[#All],2,FALSE),"Unknown"))</f>
        <v>2</v>
      </c>
      <c r="O73" t="s">
        <v>194</v>
      </c>
      <c r="P73">
        <f>IFERROR(VALUE(SUBSTITUTE(SUBSTITUTE(SUBSTITUTE(Table1[[#This Row],[revenue]],"EUR",""),"$",""),".",",")),"")</f>
        <v>2941.72</v>
      </c>
      <c r="Q73" t="s">
        <v>17</v>
      </c>
      <c r="R73" t="str">
        <f>IF(OR(Table1[[#This Row],[currency]]="EUR",Table1[[#This Row],[currency]]="€"),"EUR",IF(OR(Table1[[#This Row],[currency]]="USD",Table1[[#This Row],[currency]]="$"),"USD","Unknown"))</f>
        <v>EUR</v>
      </c>
      <c r="S73" t="s">
        <v>35</v>
      </c>
      <c r="T73" t="str">
        <f>IFERROR(_xlfn.XLOOKUP(Table1[[#This Row],[order_status]],Table8[Original],Table8[Clean],,0,1),"Unknown")</f>
        <v>Returned</v>
      </c>
      <c r="U73">
        <v>5</v>
      </c>
      <c r="V73">
        <f>IF(ISNUMBER(Table1[[#This Row],[delivery_days]]),Table1[[#This Row],[delivery_days]],IFERROR(_xlfn.XLOOKUP(Table1[[#This Row],[delivery_days]],Table57[Original],Table57[Clean],,0,1),"Unknown"))</f>
        <v>5</v>
      </c>
      <c r="W73" t="s">
        <v>24</v>
      </c>
    </row>
    <row r="74" spans="1:23" x14ac:dyDescent="0.3">
      <c r="A74" t="s">
        <v>195</v>
      </c>
      <c r="B74" t="str">
        <f>IF(ISBLANK(Table1[[#This Row],[order_id]]),"",IF(LEFT(Table1[[#This Row],[order_id]],3)="ORD",Table1[[#This Row],[order_id]],"ORD-" &amp; Table1[[#This Row],[order_id]]))</f>
        <v>ORD-1072</v>
      </c>
      <c r="C74" t="s">
        <v>196</v>
      </c>
      <c r="D74" s="1">
        <f>IFERROR(DATEVALUE(Table1[[#This Row],[order_date]]),"")</f>
        <v>45840</v>
      </c>
      <c r="F74" t="str">
        <f>IF(ISBLANK(Table1[[#This Row],[customer_name]]),"Unknown Customer",PROPER(SUBSTITUTE(Table1[[#This Row],[customer_name]],"Cust.","Customer")))</f>
        <v>Unknown Customer</v>
      </c>
      <c r="H74" t="str">
        <f>IFERROR(_xlfn.XLOOKUP(Table1[[#This Row],[region]],Mappings!$C$3:$C$8,Mappings!$D$3:$D$8,,0,1),"Unknown")</f>
        <v>Unknown</v>
      </c>
      <c r="I74" t="s">
        <v>27</v>
      </c>
      <c r="J74" t="str">
        <f>IFERROR(_xlfn.XLOOKUP(Table1[[#This Row],[sales_channel]],Table4[Original],Table4[Clean],,0,1),"Unknown")</f>
        <v>Online</v>
      </c>
      <c r="K74" t="s">
        <v>41</v>
      </c>
      <c r="L74" t="str">
        <f>IFERROR(_xlfn.XLOOKUP(Table1[[#This Row],[product]],Table3[Original],Table3[Product_clean],,0,1),"Unknown")</f>
        <v>Phone</v>
      </c>
      <c r="M74" s="6"/>
      <c r="N74" t="str">
        <f>IF(ISNUMBER(Table1[[#This Row],[quantity]]),Table1[[#This Row],[quantity]],IFERROR(VLOOKUP(Table1[[#This Row],[quantity]],Table5[#All],2,FALSE),"Unknown"))</f>
        <v>Unknown</v>
      </c>
      <c r="O74">
        <v>1547.83</v>
      </c>
      <c r="P74">
        <f>IFERROR(VALUE(SUBSTITUTE(SUBSTITUTE(SUBSTITUTE(Table1[[#This Row],[revenue]],"EUR",""),"$",""),".",",")),"")</f>
        <v>1547.83</v>
      </c>
      <c r="Q74" t="s">
        <v>22</v>
      </c>
      <c r="R74" t="str">
        <f>IF(OR(Table1[[#This Row],[currency]]="EUR",Table1[[#This Row],[currency]]="€"),"EUR",IF(OR(Table1[[#This Row],[currency]]="USD",Table1[[#This Row],[currency]]="$"),"USD","Unknown"))</f>
        <v>USD</v>
      </c>
      <c r="S74" t="s">
        <v>35</v>
      </c>
      <c r="T74" t="str">
        <f>IFERROR(_xlfn.XLOOKUP(Table1[[#This Row],[order_status]],Table8[Original],Table8[Clean],,0,1),"Unknown")</f>
        <v>Returned</v>
      </c>
      <c r="U74">
        <v>3</v>
      </c>
      <c r="V74">
        <f>IF(ISNUMBER(Table1[[#This Row],[delivery_days]]),Table1[[#This Row],[delivery_days]],IFERROR(_xlfn.XLOOKUP(Table1[[#This Row],[delivery_days]],Table57[Original],Table57[Clean],,0,1),"Unknown"))</f>
        <v>3</v>
      </c>
    </row>
    <row r="75" spans="1:23" x14ac:dyDescent="0.3">
      <c r="B75" t="str">
        <f>IF(ISBLANK(Table1[[#This Row],[order_id]]),"",IF(LEFT(Table1[[#This Row],[order_id]],3)="ORD",Table1[[#This Row],[order_id]],"ORD-" &amp; Table1[[#This Row],[order_id]]))</f>
        <v/>
      </c>
      <c r="C75" t="s">
        <v>197</v>
      </c>
      <c r="D75" s="1">
        <f>IFERROR(DATEVALUE(Table1[[#This Row],[order_date]]),"")</f>
        <v>45525</v>
      </c>
      <c r="F75" t="str">
        <f>IF(ISBLANK(Table1[[#This Row],[customer_name]]),"Unknown Customer",PROPER(SUBSTITUTE(Table1[[#This Row],[customer_name]],"Cust.","Customer")))</f>
        <v>Unknown Customer</v>
      </c>
      <c r="G75" t="s">
        <v>54</v>
      </c>
      <c r="H75" t="str">
        <f>IFERROR(_xlfn.XLOOKUP(Table1[[#This Row],[region]],Mappings!$C$3:$C$8,Mappings!$D$3:$D$8,,0,1),"Unknown")</f>
        <v>USA</v>
      </c>
      <c r="I75" t="s">
        <v>78</v>
      </c>
      <c r="J75" t="str">
        <f>IFERROR(_xlfn.XLOOKUP(Table1[[#This Row],[sales_channel]],Table4[Original],Table4[Clean],,0,1),"Unknown")</f>
        <v>Mobile</v>
      </c>
      <c r="K75" t="s">
        <v>51</v>
      </c>
      <c r="L75" t="str">
        <f>IFERROR(_xlfn.XLOOKUP(Table1[[#This Row],[product]],Table3[Original],Table3[Product_clean],,0,1),"Unknown")</f>
        <v>Laptop</v>
      </c>
      <c r="M75" s="6">
        <v>3</v>
      </c>
      <c r="N75">
        <f>IF(ISNUMBER(Table1[[#This Row],[quantity]]),Table1[[#This Row],[quantity]],IFERROR(VLOOKUP(Table1[[#This Row],[quantity]],Table5[#All],2,FALSE),"Unknown"))</f>
        <v>3</v>
      </c>
      <c r="O75" t="s">
        <v>198</v>
      </c>
      <c r="P75">
        <f>IFERROR(VALUE(SUBSTITUTE(SUBSTITUTE(SUBSTITUTE(Table1[[#This Row],[revenue]],"EUR",""),"$",""),".",",")),"")</f>
        <v>2801.91</v>
      </c>
      <c r="Q75" t="s">
        <v>22</v>
      </c>
      <c r="R75" t="str">
        <f>IF(OR(Table1[[#This Row],[currency]]="EUR",Table1[[#This Row],[currency]]="€"),"EUR",IF(OR(Table1[[#This Row],[currency]]="USD",Table1[[#This Row],[currency]]="$"),"USD","Unknown"))</f>
        <v>USD</v>
      </c>
      <c r="T75" t="str">
        <f>IFERROR(_xlfn.XLOOKUP(Table1[[#This Row],[order_status]],Table8[Original],Table8[Clean],,0,1),"Unknown")</f>
        <v>Unknown</v>
      </c>
      <c r="U75">
        <v>5</v>
      </c>
      <c r="V75">
        <f>IF(ISNUMBER(Table1[[#This Row],[delivery_days]]),Table1[[#This Row],[delivery_days]],IFERROR(_xlfn.XLOOKUP(Table1[[#This Row],[delivery_days]],Table57[Original],Table57[Clean],,0,1),"Unknown"))</f>
        <v>5</v>
      </c>
    </row>
    <row r="76" spans="1:23" x14ac:dyDescent="0.3">
      <c r="A76" t="s">
        <v>199</v>
      </c>
      <c r="B76" t="str">
        <f>IF(ISBLANK(Table1[[#This Row],[order_id]]),"",IF(LEFT(Table1[[#This Row],[order_id]],3)="ORD",Table1[[#This Row],[order_id]],"ORD-" &amp; Table1[[#This Row],[order_id]]))</f>
        <v>ORD-1074</v>
      </c>
      <c r="C76" t="s">
        <v>200</v>
      </c>
      <c r="D76" s="1">
        <f>IFERROR(DATEVALUE(Table1[[#This Row],[order_date]]),"")</f>
        <v>45631</v>
      </c>
      <c r="E76" t="s">
        <v>201</v>
      </c>
      <c r="F76" t="str">
        <f>IF(ISBLANK(Table1[[#This Row],[customer_name]]),"Unknown Customer",PROPER(SUBSTITUTE(Table1[[#This Row],[customer_name]],"Cust.","Customer")))</f>
        <v>Customer 74</v>
      </c>
      <c r="G76" t="s">
        <v>45</v>
      </c>
      <c r="H76" t="str">
        <f>IFERROR(_xlfn.XLOOKUP(Table1[[#This Row],[region]],Mappings!$C$3:$C$8,Mappings!$D$3:$D$8,,0,1),"Unknown")</f>
        <v>USA</v>
      </c>
      <c r="I76" t="s">
        <v>68</v>
      </c>
      <c r="J76" t="str">
        <f>IFERROR(_xlfn.XLOOKUP(Table1[[#This Row],[sales_channel]],Table4[Original],Table4[Clean],,0,1),"Unknown")</f>
        <v>Online</v>
      </c>
      <c r="K76" t="s">
        <v>102</v>
      </c>
      <c r="L76" t="str">
        <f>IFERROR(_xlfn.XLOOKUP(Table1[[#This Row],[product]],Table3[Original],Table3[Product_clean],,0,1),"Unknown")</f>
        <v>Phone</v>
      </c>
      <c r="M76" s="6">
        <v>1</v>
      </c>
      <c r="N76">
        <f>IF(ISNUMBER(Table1[[#This Row],[quantity]]),Table1[[#This Row],[quantity]],IFERROR(VLOOKUP(Table1[[#This Row],[quantity]],Table5[#All],2,FALSE),"Unknown"))</f>
        <v>1</v>
      </c>
      <c r="O76" t="s">
        <v>202</v>
      </c>
      <c r="P76">
        <f>IFERROR(VALUE(SUBSTITUTE(SUBSTITUTE(SUBSTITUTE(Table1[[#This Row],[revenue]],"EUR",""),"$",""),".",",")),"")</f>
        <v>2387.56</v>
      </c>
      <c r="Q76" t="s">
        <v>22</v>
      </c>
      <c r="R76" t="str">
        <f>IF(OR(Table1[[#This Row],[currency]]="EUR",Table1[[#This Row],[currency]]="€"),"EUR",IF(OR(Table1[[#This Row],[currency]]="USD",Table1[[#This Row],[currency]]="$"),"USD","Unknown"))</f>
        <v>USD</v>
      </c>
      <c r="S76" t="s">
        <v>30</v>
      </c>
      <c r="T76" t="str">
        <f>IFERROR(_xlfn.XLOOKUP(Table1[[#This Row],[order_status]],Table8[Original],Table8[Clean],,0,1),"Unknown")</f>
        <v>Delivered</v>
      </c>
      <c r="U76" t="s">
        <v>36</v>
      </c>
      <c r="V76">
        <f>IF(ISNUMBER(Table1[[#This Row],[delivery_days]]),Table1[[#This Row],[delivery_days]],IFERROR(_xlfn.XLOOKUP(Table1[[#This Row],[delivery_days]],Table57[Original],Table57[Clean],,0,1),"Unknown"))</f>
        <v>5</v>
      </c>
    </row>
    <row r="77" spans="1:23" x14ac:dyDescent="0.3">
      <c r="B77" t="str">
        <f>IF(ISBLANK(Table1[[#This Row],[order_id]]),"",IF(LEFT(Table1[[#This Row],[order_id]],3)="ORD",Table1[[#This Row],[order_id]],"ORD-" &amp; Table1[[#This Row],[order_id]]))</f>
        <v/>
      </c>
      <c r="C77" t="s">
        <v>203</v>
      </c>
      <c r="D77" s="1">
        <f>IFERROR(DATEVALUE(Table1[[#This Row],[order_date]]),"")</f>
        <v>45299</v>
      </c>
      <c r="E77" t="s">
        <v>204</v>
      </c>
      <c r="F77" t="str">
        <f>IF(ISBLANK(Table1[[#This Row],[customer_name]]),"Unknown Customer",PROPER(SUBSTITUTE(Table1[[#This Row],[customer_name]],"Cust.","Customer")))</f>
        <v>Customer 75</v>
      </c>
      <c r="G77" t="s">
        <v>32</v>
      </c>
      <c r="H77" t="str">
        <f>IFERROR(_xlfn.XLOOKUP(Table1[[#This Row],[region]],Mappings!$C$3:$C$8,Mappings!$D$3:$D$8,,0,1),"Unknown")</f>
        <v>Europe</v>
      </c>
      <c r="I77" t="s">
        <v>50</v>
      </c>
      <c r="J77" t="str">
        <f>IFERROR(_xlfn.XLOOKUP(Table1[[#This Row],[sales_channel]],Table4[Original],Table4[Clean],,0,1),"Unknown")</f>
        <v>Mobile</v>
      </c>
      <c r="K77" t="s">
        <v>102</v>
      </c>
      <c r="L77" t="str">
        <f>IFERROR(_xlfn.XLOOKUP(Table1[[#This Row],[product]],Table3[Original],Table3[Product_clean],,0,1),"Unknown")</f>
        <v>Phone</v>
      </c>
      <c r="M77" s="6"/>
      <c r="N77" t="str">
        <f>IF(ISNUMBER(Table1[[#This Row],[quantity]]),Table1[[#This Row],[quantity]],IFERROR(VLOOKUP(Table1[[#This Row],[quantity]],Table5[#All],2,FALSE),"Unknown"))</f>
        <v>Unknown</v>
      </c>
      <c r="P77" t="str">
        <f>IFERROR(VALUE(SUBSTITUTE(SUBSTITUTE(SUBSTITUTE(Table1[[#This Row],[revenue]],"EUR",""),"$",""),".",",")),"")</f>
        <v/>
      </c>
      <c r="Q77" t="s">
        <v>22</v>
      </c>
      <c r="R77" t="str">
        <f>IF(OR(Table1[[#This Row],[currency]]="EUR",Table1[[#This Row],[currency]]="€"),"EUR",IF(OR(Table1[[#This Row],[currency]]="USD",Table1[[#This Row],[currency]]="$"),"USD","Unknown"))</f>
        <v>USD</v>
      </c>
      <c r="T77" t="str">
        <f>IFERROR(_xlfn.XLOOKUP(Table1[[#This Row],[order_status]],Table8[Original],Table8[Clean],,0,1),"Unknown")</f>
        <v>Unknown</v>
      </c>
      <c r="U77">
        <v>1</v>
      </c>
      <c r="V77">
        <f>IF(ISNUMBER(Table1[[#This Row],[delivery_days]]),Table1[[#This Row],[delivery_days]],IFERROR(_xlfn.XLOOKUP(Table1[[#This Row],[delivery_days]],Table57[Original],Table57[Clean],,0,1),"Unknown"))</f>
        <v>1</v>
      </c>
      <c r="W77" t="s">
        <v>24</v>
      </c>
    </row>
    <row r="78" spans="1:23" x14ac:dyDescent="0.3">
      <c r="A78" t="s">
        <v>205</v>
      </c>
      <c r="B78" t="str">
        <f>IF(ISBLANK(Table1[[#This Row],[order_id]]),"",IF(LEFT(Table1[[#This Row],[order_id]],3)="ORD",Table1[[#This Row],[order_id]],"ORD-" &amp; Table1[[#This Row],[order_id]]))</f>
        <v>ORD-1076</v>
      </c>
      <c r="D78" s="1" t="str">
        <f>IFERROR(DATEVALUE(Table1[[#This Row],[order_date]]),"")</f>
        <v/>
      </c>
      <c r="E78" t="s">
        <v>206</v>
      </c>
      <c r="F78" t="str">
        <f>IF(ISBLANK(Table1[[#This Row],[customer_name]]),"Unknown Customer",PROPER(SUBSTITUTE(Table1[[#This Row],[customer_name]],"Cust.","Customer")))</f>
        <v>Customer 76</v>
      </c>
      <c r="G78" t="s">
        <v>45</v>
      </c>
      <c r="H78" t="str">
        <f>IFERROR(_xlfn.XLOOKUP(Table1[[#This Row],[region]],Mappings!$C$3:$C$8,Mappings!$D$3:$D$8,,0,1),"Unknown")</f>
        <v>USA</v>
      </c>
      <c r="I78" t="s">
        <v>14</v>
      </c>
      <c r="J78" t="str">
        <f>IFERROR(_xlfn.XLOOKUP(Table1[[#This Row],[sales_channel]],Table4[Original],Table4[Clean],,0,1),"Unknown")</f>
        <v>Online</v>
      </c>
      <c r="K78" t="s">
        <v>28</v>
      </c>
      <c r="L78" t="str">
        <f>IFERROR(_xlfn.XLOOKUP(Table1[[#This Row],[product]],Table3[Original],Table3[Product_clean],,0,1),"Unknown")</f>
        <v>Laptop</v>
      </c>
      <c r="M78" s="6">
        <v>3</v>
      </c>
      <c r="N78">
        <f>IF(ISNUMBER(Table1[[#This Row],[quantity]]),Table1[[#This Row],[quantity]],IFERROR(VLOOKUP(Table1[[#This Row],[quantity]],Table5[#All],2,FALSE),"Unknown"))</f>
        <v>3</v>
      </c>
      <c r="P78" t="str">
        <f>IFERROR(VALUE(SUBSTITUTE(SUBSTITUTE(SUBSTITUTE(Table1[[#This Row],[revenue]],"EUR",""),"$",""),".",",")),"")</f>
        <v/>
      </c>
      <c r="Q78" t="s">
        <v>58</v>
      </c>
      <c r="R78" t="str">
        <f>IF(OR(Table1[[#This Row],[currency]]="EUR",Table1[[#This Row],[currency]]="€"),"EUR",IF(OR(Table1[[#This Row],[currency]]="USD",Table1[[#This Row],[currency]]="$"),"USD","Unknown"))</f>
        <v>USD</v>
      </c>
      <c r="T78" t="str">
        <f>IFERROR(_xlfn.XLOOKUP(Table1[[#This Row],[order_status]],Table8[Original],Table8[Clean],,0,1),"Unknown")</f>
        <v>Unknown</v>
      </c>
      <c r="U78">
        <v>1</v>
      </c>
      <c r="V78">
        <f>IF(ISNUMBER(Table1[[#This Row],[delivery_days]]),Table1[[#This Row],[delivery_days]],IFERROR(_xlfn.XLOOKUP(Table1[[#This Row],[delivery_days]],Table57[Original],Table57[Clean],,0,1),"Unknown"))</f>
        <v>1</v>
      </c>
    </row>
    <row r="79" spans="1:23" x14ac:dyDescent="0.3">
      <c r="A79" t="s">
        <v>207</v>
      </c>
      <c r="B79" t="str">
        <f>IF(ISBLANK(Table1[[#This Row],[order_id]]),"",IF(LEFT(Table1[[#This Row],[order_id]],3)="ORD",Table1[[#This Row],[order_id]],"ORD-" &amp; Table1[[#This Row],[order_id]]))</f>
        <v>ORD-1077</v>
      </c>
      <c r="C79" t="s">
        <v>208</v>
      </c>
      <c r="D79" s="1">
        <f>IFERROR(DATEVALUE(Table1[[#This Row],[order_date]]),"")</f>
        <v>45342</v>
      </c>
      <c r="E79" t="s">
        <v>209</v>
      </c>
      <c r="F79" t="str">
        <f>IF(ISBLANK(Table1[[#This Row],[customer_name]]),"Unknown Customer",PROPER(SUBSTITUTE(Table1[[#This Row],[customer_name]],"Cust.","Customer")))</f>
        <v>Customer 77</v>
      </c>
      <c r="G79" t="s">
        <v>73</v>
      </c>
      <c r="H79" t="str">
        <f>IFERROR(_xlfn.XLOOKUP(Table1[[#This Row],[region]],Mappings!$C$3:$C$8,Mappings!$D$3:$D$8,,0,1),"Unknown")</f>
        <v>Europe</v>
      </c>
      <c r="I79" t="s">
        <v>14</v>
      </c>
      <c r="J79" t="str">
        <f>IFERROR(_xlfn.XLOOKUP(Table1[[#This Row],[sales_channel]],Table4[Original],Table4[Clean],,0,1),"Unknown")</f>
        <v>Online</v>
      </c>
      <c r="K79" t="s">
        <v>102</v>
      </c>
      <c r="L79" t="str">
        <f>IFERROR(_xlfn.XLOOKUP(Table1[[#This Row],[product]],Table3[Original],Table3[Product_clean],,0,1),"Unknown")</f>
        <v>Phone</v>
      </c>
      <c r="M79" s="6">
        <v>1</v>
      </c>
      <c r="N79">
        <f>IF(ISNUMBER(Table1[[#This Row],[quantity]]),Table1[[#This Row],[quantity]],IFERROR(VLOOKUP(Table1[[#This Row],[quantity]],Table5[#All],2,FALSE),"Unknown"))</f>
        <v>1</v>
      </c>
      <c r="O79">
        <v>2293.09</v>
      </c>
      <c r="P79">
        <f>IFERROR(VALUE(SUBSTITUTE(SUBSTITUTE(SUBSTITUTE(Table1[[#This Row],[revenue]],"EUR",""),"$",""),".",",")),"")</f>
        <v>2293.09</v>
      </c>
      <c r="Q79" t="s">
        <v>55</v>
      </c>
      <c r="R79" t="str">
        <f>IF(OR(Table1[[#This Row],[currency]]="EUR",Table1[[#This Row],[currency]]="€"),"EUR",IF(OR(Table1[[#This Row],[currency]]="USD",Table1[[#This Row],[currency]]="$"),"USD","Unknown"))</f>
        <v>EUR</v>
      </c>
      <c r="S79" t="s">
        <v>35</v>
      </c>
      <c r="T79" t="str">
        <f>IFERROR(_xlfn.XLOOKUP(Table1[[#This Row],[order_status]],Table8[Original],Table8[Clean],,0,1),"Unknown")</f>
        <v>Returned</v>
      </c>
      <c r="U79">
        <v>3</v>
      </c>
      <c r="V79">
        <f>IF(ISNUMBER(Table1[[#This Row],[delivery_days]]),Table1[[#This Row],[delivery_days]],IFERROR(_xlfn.XLOOKUP(Table1[[#This Row],[delivery_days]],Table57[Original],Table57[Clean],,0,1),"Unknown"))</f>
        <v>3</v>
      </c>
    </row>
    <row r="80" spans="1:23" x14ac:dyDescent="0.3">
      <c r="B80" t="str">
        <f>IF(ISBLANK(Table1[[#This Row],[order_id]]),"",IF(LEFT(Table1[[#This Row],[order_id]],3)="ORD",Table1[[#This Row],[order_id]],"ORD-" &amp; Table1[[#This Row],[order_id]]))</f>
        <v/>
      </c>
      <c r="C80" t="s">
        <v>210</v>
      </c>
      <c r="D80" s="1">
        <f>IFERROR(DATEVALUE(Table1[[#This Row],[order_date]]),"")</f>
        <v>45366</v>
      </c>
      <c r="E80" t="s">
        <v>211</v>
      </c>
      <c r="F80" t="str">
        <f>IF(ISBLANK(Table1[[#This Row],[customer_name]]),"Unknown Customer",PROPER(SUBSTITUTE(Table1[[#This Row],[customer_name]],"Cust.","Customer")))</f>
        <v>Customer 78</v>
      </c>
      <c r="G80" t="s">
        <v>54</v>
      </c>
      <c r="H80" t="str">
        <f>IFERROR(_xlfn.XLOOKUP(Table1[[#This Row],[region]],Mappings!$C$3:$C$8,Mappings!$D$3:$D$8,,0,1),"Unknown")</f>
        <v>USA</v>
      </c>
      <c r="I80" t="s">
        <v>14</v>
      </c>
      <c r="J80" t="str">
        <f>IFERROR(_xlfn.XLOOKUP(Table1[[#This Row],[sales_channel]],Table4[Original],Table4[Clean],,0,1),"Unknown")</f>
        <v>Online</v>
      </c>
      <c r="K80" t="s">
        <v>33</v>
      </c>
      <c r="L80" t="str">
        <f>IFERROR(_xlfn.XLOOKUP(Table1[[#This Row],[product]],Table3[Original],Table3[Product_clean],,0,1),"Unknown")</f>
        <v>Tablet</v>
      </c>
      <c r="M80" s="6" t="s">
        <v>83</v>
      </c>
      <c r="N80">
        <f>IF(ISNUMBER(Table1[[#This Row],[quantity]]),Table1[[#This Row],[quantity]],IFERROR(VLOOKUP(Table1[[#This Row],[quantity]],Table5[#All],2,FALSE),"Unknown"))</f>
        <v>2</v>
      </c>
      <c r="P80" t="str">
        <f>IFERROR(VALUE(SUBSTITUTE(SUBSTITUTE(SUBSTITUTE(Table1[[#This Row],[revenue]],"EUR",""),"$",""),".",",")),"")</f>
        <v/>
      </c>
      <c r="R80" t="str">
        <f>IF(OR(Table1[[#This Row],[currency]]="EUR",Table1[[#This Row],[currency]]="€"),"EUR",IF(OR(Table1[[#This Row],[currency]]="USD",Table1[[#This Row],[currency]]="$"),"USD","Unknown"))</f>
        <v>Unknown</v>
      </c>
      <c r="T80" t="str">
        <f>IFERROR(_xlfn.XLOOKUP(Table1[[#This Row],[order_status]],Table8[Original],Table8[Clean],,0,1),"Unknown")</f>
        <v>Unknown</v>
      </c>
      <c r="U80">
        <v>2</v>
      </c>
      <c r="V80">
        <f>IF(ISNUMBER(Table1[[#This Row],[delivery_days]]),Table1[[#This Row],[delivery_days]],IFERROR(_xlfn.XLOOKUP(Table1[[#This Row],[delivery_days]],Table57[Original],Table57[Clean],,0,1),"Unknown"))</f>
        <v>2</v>
      </c>
    </row>
    <row r="81" spans="1:23" x14ac:dyDescent="0.3">
      <c r="B81" t="str">
        <f>IF(ISBLANK(Table1[[#This Row],[order_id]]),"",IF(LEFT(Table1[[#This Row],[order_id]],3)="ORD",Table1[[#This Row],[order_id]],"ORD-" &amp; Table1[[#This Row],[order_id]]))</f>
        <v/>
      </c>
      <c r="C81" t="s">
        <v>212</v>
      </c>
      <c r="D81" s="1" t="str">
        <f>IFERROR(DATEVALUE(Table1[[#This Row],[order_date]]),"")</f>
        <v/>
      </c>
      <c r="F81" t="str">
        <f>IF(ISBLANK(Table1[[#This Row],[customer_name]]),"Unknown Customer",PROPER(SUBSTITUTE(Table1[[#This Row],[customer_name]],"Cust.","Customer")))</f>
        <v>Unknown Customer</v>
      </c>
      <c r="G81" t="s">
        <v>26</v>
      </c>
      <c r="H81" t="str">
        <f>IFERROR(_xlfn.XLOOKUP(Table1[[#This Row],[region]],Mappings!$C$3:$C$8,Mappings!$D$3:$D$8,,0,1),"Unknown")</f>
        <v>Asia</v>
      </c>
      <c r="J81" t="str">
        <f>IFERROR(_xlfn.XLOOKUP(Table1[[#This Row],[sales_channel]],Table4[Original],Table4[Clean],,0,1),"Unknown")</f>
        <v>Unknown</v>
      </c>
      <c r="K81" t="s">
        <v>51</v>
      </c>
      <c r="L81" t="str">
        <f>IFERROR(_xlfn.XLOOKUP(Table1[[#This Row],[product]],Table3[Original],Table3[Product_clean],,0,1),"Unknown")</f>
        <v>Laptop</v>
      </c>
      <c r="M81" s="6" t="s">
        <v>83</v>
      </c>
      <c r="N81">
        <f>IF(ISNUMBER(Table1[[#This Row],[quantity]]),Table1[[#This Row],[quantity]],IFERROR(VLOOKUP(Table1[[#This Row],[quantity]],Table5[#All],2,FALSE),"Unknown"))</f>
        <v>2</v>
      </c>
      <c r="P81" t="str">
        <f>IFERROR(VALUE(SUBSTITUTE(SUBSTITUTE(SUBSTITUTE(Table1[[#This Row],[revenue]],"EUR",""),"$",""),".",",")),"")</f>
        <v/>
      </c>
      <c r="Q81" t="s">
        <v>55</v>
      </c>
      <c r="R81" t="str">
        <f>IF(OR(Table1[[#This Row],[currency]]="EUR",Table1[[#This Row],[currency]]="€"),"EUR",IF(OR(Table1[[#This Row],[currency]]="USD",Table1[[#This Row],[currency]]="$"),"USD","Unknown"))</f>
        <v>EUR</v>
      </c>
      <c r="T81" t="str">
        <f>IFERROR(_xlfn.XLOOKUP(Table1[[#This Row],[order_status]],Table8[Original],Table8[Clean],,0,1),"Unknown")</f>
        <v>Unknown</v>
      </c>
      <c r="U81" t="s">
        <v>36</v>
      </c>
      <c r="V81">
        <f>IF(ISNUMBER(Table1[[#This Row],[delivery_days]]),Table1[[#This Row],[delivery_days]],IFERROR(_xlfn.XLOOKUP(Table1[[#This Row],[delivery_days]],Table57[Original],Table57[Clean],,0,1),"Unknown"))</f>
        <v>5</v>
      </c>
      <c r="W81" t="s">
        <v>37</v>
      </c>
    </row>
    <row r="82" spans="1:23" x14ac:dyDescent="0.3">
      <c r="B82" t="str">
        <f>IF(ISBLANK(Table1[[#This Row],[order_id]]),"",IF(LEFT(Table1[[#This Row],[order_id]],3)="ORD",Table1[[#This Row],[order_id]],"ORD-" &amp; Table1[[#This Row],[order_id]]))</f>
        <v/>
      </c>
      <c r="C82" t="s">
        <v>213</v>
      </c>
      <c r="D82" s="1">
        <f>IFERROR(DATEVALUE(Table1[[#This Row],[order_date]]),"")</f>
        <v>45475</v>
      </c>
      <c r="F82" t="str">
        <f>IF(ISBLANK(Table1[[#This Row],[customer_name]]),"Unknown Customer",PROPER(SUBSTITUTE(Table1[[#This Row],[customer_name]],"Cust.","Customer")))</f>
        <v>Unknown Customer</v>
      </c>
      <c r="H82" t="str">
        <f>IFERROR(_xlfn.XLOOKUP(Table1[[#This Row],[region]],Mappings!$C$3:$C$8,Mappings!$D$3:$D$8,,0,1),"Unknown")</f>
        <v>Unknown</v>
      </c>
      <c r="I82" t="s">
        <v>50</v>
      </c>
      <c r="J82" t="str">
        <f>IFERROR(_xlfn.XLOOKUP(Table1[[#This Row],[sales_channel]],Table4[Original],Table4[Clean],,0,1),"Unknown")</f>
        <v>Mobile</v>
      </c>
      <c r="K82" t="s">
        <v>41</v>
      </c>
      <c r="L82" t="str">
        <f>IFERROR(_xlfn.XLOOKUP(Table1[[#This Row],[product]],Table3[Original],Table3[Product_clean],,0,1),"Unknown")</f>
        <v>Phone</v>
      </c>
      <c r="M82" s="6">
        <v>3</v>
      </c>
      <c r="N82">
        <f>IF(ISNUMBER(Table1[[#This Row],[quantity]]),Table1[[#This Row],[quantity]],IFERROR(VLOOKUP(Table1[[#This Row],[quantity]],Table5[#All],2,FALSE),"Unknown"))</f>
        <v>3</v>
      </c>
      <c r="O82" t="s">
        <v>214</v>
      </c>
      <c r="P82">
        <f>IFERROR(VALUE(SUBSTITUTE(SUBSTITUTE(SUBSTITUTE(Table1[[#This Row],[revenue]],"EUR",""),"$",""),".",",")),"")</f>
        <v>1353.1</v>
      </c>
      <c r="Q82" t="s">
        <v>58</v>
      </c>
      <c r="R82" t="str">
        <f>IF(OR(Table1[[#This Row],[currency]]="EUR",Table1[[#This Row],[currency]]="€"),"EUR",IF(OR(Table1[[#This Row],[currency]]="USD",Table1[[#This Row],[currency]]="$"),"USD","Unknown"))</f>
        <v>USD</v>
      </c>
      <c r="S82" t="s">
        <v>47</v>
      </c>
      <c r="T82" t="str">
        <f>IFERROR(_xlfn.XLOOKUP(Table1[[#This Row],[order_status]],Table8[Original],Table8[Clean],,0,1),"Unknown")</f>
        <v>Returned</v>
      </c>
      <c r="U82">
        <v>5</v>
      </c>
      <c r="V82">
        <f>IF(ISNUMBER(Table1[[#This Row],[delivery_days]]),Table1[[#This Row],[delivery_days]],IFERROR(_xlfn.XLOOKUP(Table1[[#This Row],[delivery_days]],Table57[Original],Table57[Clean],,0,1),"Unknown"))</f>
        <v>5</v>
      </c>
    </row>
    <row r="83" spans="1:23" x14ac:dyDescent="0.3">
      <c r="B83" t="str">
        <f>IF(ISBLANK(Table1[[#This Row],[order_id]]),"",IF(LEFT(Table1[[#This Row],[order_id]],3)="ORD",Table1[[#This Row],[order_id]],"ORD-" &amp; Table1[[#This Row],[order_id]]))</f>
        <v/>
      </c>
      <c r="C83" t="s">
        <v>215</v>
      </c>
      <c r="D83" s="1">
        <f>IFERROR(DATEVALUE(Table1[[#This Row],[order_date]]),"")</f>
        <v>45296</v>
      </c>
      <c r="E83" t="s">
        <v>216</v>
      </c>
      <c r="F83" t="str">
        <f>IF(ISBLANK(Table1[[#This Row],[customer_name]]),"Unknown Customer",PROPER(SUBSTITUTE(Table1[[#This Row],[customer_name]],"Cust.","Customer")))</f>
        <v>Customer 81</v>
      </c>
      <c r="G83" t="s">
        <v>73</v>
      </c>
      <c r="H83" t="str">
        <f>IFERROR(_xlfn.XLOOKUP(Table1[[#This Row],[region]],Mappings!$C$3:$C$8,Mappings!$D$3:$D$8,,0,1),"Unknown")</f>
        <v>Europe</v>
      </c>
      <c r="J83" t="str">
        <f>IFERROR(_xlfn.XLOOKUP(Table1[[#This Row],[sales_channel]],Table4[Original],Table4[Clean],,0,1),"Unknown")</f>
        <v>Unknown</v>
      </c>
      <c r="K83" t="s">
        <v>41</v>
      </c>
      <c r="L83" t="str">
        <f>IFERROR(_xlfn.XLOOKUP(Table1[[#This Row],[product]],Table3[Original],Table3[Product_clean],,0,1),"Unknown")</f>
        <v>Phone</v>
      </c>
      <c r="M83" s="6">
        <v>3</v>
      </c>
      <c r="N83">
        <f>IF(ISNUMBER(Table1[[#This Row],[quantity]]),Table1[[#This Row],[quantity]],IFERROR(VLOOKUP(Table1[[#This Row],[quantity]],Table5[#All],2,FALSE),"Unknown"))</f>
        <v>3</v>
      </c>
      <c r="O83" t="s">
        <v>217</v>
      </c>
      <c r="P83">
        <f>IFERROR(VALUE(SUBSTITUTE(SUBSTITUTE(SUBSTITUTE(Table1[[#This Row],[revenue]],"EUR",""),"$",""),".",",")),"")</f>
        <v>1175.02</v>
      </c>
      <c r="Q83" t="s">
        <v>17</v>
      </c>
      <c r="R83" t="str">
        <f>IF(OR(Table1[[#This Row],[currency]]="EUR",Table1[[#This Row],[currency]]="€"),"EUR",IF(OR(Table1[[#This Row],[currency]]="USD",Table1[[#This Row],[currency]]="$"),"USD","Unknown"))</f>
        <v>EUR</v>
      </c>
      <c r="S83" t="s">
        <v>18</v>
      </c>
      <c r="T83" t="str">
        <f>IFERROR(_xlfn.XLOOKUP(Table1[[#This Row],[order_status]],Table8[Original],Table8[Clean],,0,1),"Unknown")</f>
        <v>Pending</v>
      </c>
      <c r="V83" t="str">
        <f>IF(ISNUMBER(Table1[[#This Row],[delivery_days]]),Table1[[#This Row],[delivery_days]],IFERROR(_xlfn.XLOOKUP(Table1[[#This Row],[delivery_days]],Table57[Original],Table57[Clean],,0,1),"Unknown"))</f>
        <v>Unknown</v>
      </c>
    </row>
    <row r="84" spans="1:23" x14ac:dyDescent="0.3">
      <c r="A84">
        <v>1082</v>
      </c>
      <c r="B84" t="str">
        <f>IF(ISBLANK(Table1[[#This Row],[order_id]]),"",IF(LEFT(Table1[[#This Row],[order_id]],3)="ORD",Table1[[#This Row],[order_id]],"ORD-" &amp; Table1[[#This Row],[order_id]]))</f>
        <v>ORD-1082</v>
      </c>
      <c r="C84" t="s">
        <v>218</v>
      </c>
      <c r="D84" s="1">
        <f>IFERROR(DATEVALUE(Table1[[#This Row],[order_date]]),"")</f>
        <v>45454</v>
      </c>
      <c r="E84" t="s">
        <v>219</v>
      </c>
      <c r="F84" t="str">
        <f>IF(ISBLANK(Table1[[#This Row],[customer_name]]),"Unknown Customer",PROPER(SUBSTITUTE(Table1[[#This Row],[customer_name]],"Cust.","Customer")))</f>
        <v>Customer 82</v>
      </c>
      <c r="H84" t="str">
        <f>IFERROR(_xlfn.XLOOKUP(Table1[[#This Row],[region]],Mappings!$C$3:$C$8,Mappings!$D$3:$D$8,,0,1),"Unknown")</f>
        <v>Unknown</v>
      </c>
      <c r="I84" t="s">
        <v>27</v>
      </c>
      <c r="J84" t="str">
        <f>IFERROR(_xlfn.XLOOKUP(Table1[[#This Row],[sales_channel]],Table4[Original],Table4[Clean],,0,1),"Unknown")</f>
        <v>Online</v>
      </c>
      <c r="K84" t="s">
        <v>33</v>
      </c>
      <c r="L84" t="str">
        <f>IFERROR(_xlfn.XLOOKUP(Table1[[#This Row],[product]],Table3[Original],Table3[Product_clean],,0,1),"Unknown")</f>
        <v>Tablet</v>
      </c>
      <c r="M84" s="6">
        <v>3</v>
      </c>
      <c r="N84">
        <f>IF(ISNUMBER(Table1[[#This Row],[quantity]]),Table1[[#This Row],[quantity]],IFERROR(VLOOKUP(Table1[[#This Row],[quantity]],Table5[#All],2,FALSE),"Unknown"))</f>
        <v>3</v>
      </c>
      <c r="O84" t="s">
        <v>220</v>
      </c>
      <c r="P84">
        <f>IFERROR(VALUE(SUBSTITUTE(SUBSTITUTE(SUBSTITUTE(Table1[[#This Row],[revenue]],"EUR",""),"$",""),".",",")),"")</f>
        <v>2248.2600000000002</v>
      </c>
      <c r="Q84" t="s">
        <v>58</v>
      </c>
      <c r="R84" t="str">
        <f>IF(OR(Table1[[#This Row],[currency]]="EUR",Table1[[#This Row],[currency]]="€"),"EUR",IF(OR(Table1[[#This Row],[currency]]="USD",Table1[[#This Row],[currency]]="$"),"USD","Unknown"))</f>
        <v>USD</v>
      </c>
      <c r="T84" t="str">
        <f>IFERROR(_xlfn.XLOOKUP(Table1[[#This Row],[order_status]],Table8[Original],Table8[Clean],,0,1),"Unknown")</f>
        <v>Unknown</v>
      </c>
      <c r="U84">
        <v>1</v>
      </c>
      <c r="V84">
        <f>IF(ISNUMBER(Table1[[#This Row],[delivery_days]]),Table1[[#This Row],[delivery_days]],IFERROR(_xlfn.XLOOKUP(Table1[[#This Row],[delivery_days]],Table57[Original],Table57[Clean],,0,1),"Unknown"))</f>
        <v>1</v>
      </c>
    </row>
    <row r="85" spans="1:23" x14ac:dyDescent="0.3">
      <c r="B85" t="str">
        <f>IF(ISBLANK(Table1[[#This Row],[order_id]]),"",IF(LEFT(Table1[[#This Row],[order_id]],3)="ORD",Table1[[#This Row],[order_id]],"ORD-" &amp; Table1[[#This Row],[order_id]]))</f>
        <v/>
      </c>
      <c r="C85" t="s">
        <v>221</v>
      </c>
      <c r="D85" s="1">
        <f>IFERROR(DATEVALUE(Table1[[#This Row],[order_date]]),"")</f>
        <v>45479</v>
      </c>
      <c r="E85" t="s">
        <v>222</v>
      </c>
      <c r="F85" t="str">
        <f>IF(ISBLANK(Table1[[#This Row],[customer_name]]),"Unknown Customer",PROPER(SUBSTITUTE(Table1[[#This Row],[customer_name]],"Cust.","Customer")))</f>
        <v>Customer 83</v>
      </c>
      <c r="G85" t="s">
        <v>73</v>
      </c>
      <c r="H85" t="str">
        <f>IFERROR(_xlfn.XLOOKUP(Table1[[#This Row],[region]],Mappings!$C$3:$C$8,Mappings!$D$3:$D$8,,0,1),"Unknown")</f>
        <v>Europe</v>
      </c>
      <c r="I85" t="s">
        <v>50</v>
      </c>
      <c r="J85" t="str">
        <f>IFERROR(_xlfn.XLOOKUP(Table1[[#This Row],[sales_channel]],Table4[Original],Table4[Clean],,0,1),"Unknown")</f>
        <v>Mobile</v>
      </c>
      <c r="K85" t="s">
        <v>102</v>
      </c>
      <c r="L85" t="str">
        <f>IFERROR(_xlfn.XLOOKUP(Table1[[#This Row],[product]],Table3[Original],Table3[Product_clean],,0,1),"Unknown")</f>
        <v>Phone</v>
      </c>
      <c r="M85" s="6" t="s">
        <v>83</v>
      </c>
      <c r="N85">
        <f>IF(ISNUMBER(Table1[[#This Row],[quantity]]),Table1[[#This Row],[quantity]],IFERROR(VLOOKUP(Table1[[#This Row],[quantity]],Table5[#All],2,FALSE),"Unknown"))</f>
        <v>2</v>
      </c>
      <c r="O85">
        <v>2376.4</v>
      </c>
      <c r="P85">
        <f>IFERROR(VALUE(SUBSTITUTE(SUBSTITUTE(SUBSTITUTE(Table1[[#This Row],[revenue]],"EUR",""),"$",""),".",",")),"")</f>
        <v>2376.4</v>
      </c>
      <c r="Q85" t="s">
        <v>58</v>
      </c>
      <c r="R85" t="str">
        <f>IF(OR(Table1[[#This Row],[currency]]="EUR",Table1[[#This Row],[currency]]="€"),"EUR",IF(OR(Table1[[#This Row],[currency]]="USD",Table1[[#This Row],[currency]]="$"),"USD","Unknown"))</f>
        <v>USD</v>
      </c>
      <c r="S85" t="s">
        <v>23</v>
      </c>
      <c r="T85" t="str">
        <f>IFERROR(_xlfn.XLOOKUP(Table1[[#This Row],[order_status]],Table8[Original],Table8[Clean],,0,1),"Unknown")</f>
        <v>Delivered</v>
      </c>
      <c r="U85">
        <v>2</v>
      </c>
      <c r="V85">
        <f>IF(ISNUMBER(Table1[[#This Row],[delivery_days]]),Table1[[#This Row],[delivery_days]],IFERROR(_xlfn.XLOOKUP(Table1[[#This Row],[delivery_days]],Table57[Original],Table57[Clean],,0,1),"Unknown"))</f>
        <v>2</v>
      </c>
      <c r="W85" t="s">
        <v>24</v>
      </c>
    </row>
    <row r="86" spans="1:23" x14ac:dyDescent="0.3">
      <c r="A86">
        <v>1084</v>
      </c>
      <c r="B86" t="str">
        <f>IF(ISBLANK(Table1[[#This Row],[order_id]]),"",IF(LEFT(Table1[[#This Row],[order_id]],3)="ORD",Table1[[#This Row],[order_id]],"ORD-" &amp; Table1[[#This Row],[order_id]]))</f>
        <v>ORD-1084</v>
      </c>
      <c r="C86" t="s">
        <v>223</v>
      </c>
      <c r="D86" s="1" t="str">
        <f>IFERROR(DATEVALUE(Table1[[#This Row],[order_date]]),"")</f>
        <v/>
      </c>
      <c r="F86" t="str">
        <f>IF(ISBLANK(Table1[[#This Row],[customer_name]]),"Unknown Customer",PROPER(SUBSTITUTE(Table1[[#This Row],[customer_name]],"Cust.","Customer")))</f>
        <v>Unknown Customer</v>
      </c>
      <c r="H86" t="str">
        <f>IFERROR(_xlfn.XLOOKUP(Table1[[#This Row],[region]],Mappings!$C$3:$C$8,Mappings!$D$3:$D$8,,0,1),"Unknown")</f>
        <v>Unknown</v>
      </c>
      <c r="I86" t="s">
        <v>50</v>
      </c>
      <c r="J86" t="str">
        <f>IFERROR(_xlfn.XLOOKUP(Table1[[#This Row],[sales_channel]],Table4[Original],Table4[Clean],,0,1),"Unknown")</f>
        <v>Mobile</v>
      </c>
      <c r="K86" t="s">
        <v>15</v>
      </c>
      <c r="L86" t="str">
        <f>IFERROR(_xlfn.XLOOKUP(Table1[[#This Row],[product]],Table3[Original],Table3[Product_clean],,0,1),"Unknown")</f>
        <v>Tablet</v>
      </c>
      <c r="M86" s="6">
        <v>3</v>
      </c>
      <c r="N86">
        <f>IF(ISNUMBER(Table1[[#This Row],[quantity]]),Table1[[#This Row],[quantity]],IFERROR(VLOOKUP(Table1[[#This Row],[quantity]],Table5[#All],2,FALSE),"Unknown"))</f>
        <v>3</v>
      </c>
      <c r="O86" t="s">
        <v>224</v>
      </c>
      <c r="P86">
        <f>IFERROR(VALUE(SUBSTITUTE(SUBSTITUTE(SUBSTITUTE(Table1[[#This Row],[revenue]],"EUR",""),"$",""),".",",")),"")</f>
        <v>1530.29</v>
      </c>
      <c r="Q86" t="s">
        <v>17</v>
      </c>
      <c r="R86" t="str">
        <f>IF(OR(Table1[[#This Row],[currency]]="EUR",Table1[[#This Row],[currency]]="€"),"EUR",IF(OR(Table1[[#This Row],[currency]]="USD",Table1[[#This Row],[currency]]="$"),"USD","Unknown"))</f>
        <v>EUR</v>
      </c>
      <c r="S86" t="s">
        <v>47</v>
      </c>
      <c r="T86" t="str">
        <f>IFERROR(_xlfn.XLOOKUP(Table1[[#This Row],[order_status]],Table8[Original],Table8[Clean],,0,1),"Unknown")</f>
        <v>Returned</v>
      </c>
      <c r="U86">
        <v>1</v>
      </c>
      <c r="V86">
        <f>IF(ISNUMBER(Table1[[#This Row],[delivery_days]]),Table1[[#This Row],[delivery_days]],IFERROR(_xlfn.XLOOKUP(Table1[[#This Row],[delivery_days]],Table57[Original],Table57[Clean],,0,1),"Unknown"))</f>
        <v>1</v>
      </c>
      <c r="W86" t="s">
        <v>37</v>
      </c>
    </row>
    <row r="87" spans="1:23" x14ac:dyDescent="0.3">
      <c r="B87" t="str">
        <f>IF(ISBLANK(Table1[[#This Row],[order_id]]),"",IF(LEFT(Table1[[#This Row],[order_id]],3)="ORD",Table1[[#This Row],[order_id]],"ORD-" &amp; Table1[[#This Row],[order_id]]))</f>
        <v/>
      </c>
      <c r="C87" t="s">
        <v>225</v>
      </c>
      <c r="D87" s="1" t="str">
        <f>IFERROR(DATEVALUE(Table1[[#This Row],[order_date]]),"")</f>
        <v/>
      </c>
      <c r="E87" t="s">
        <v>226</v>
      </c>
      <c r="F87" t="str">
        <f>IF(ISBLANK(Table1[[#This Row],[customer_name]]),"Unknown Customer",PROPER(SUBSTITUTE(Table1[[#This Row],[customer_name]],"Cust.","Customer")))</f>
        <v>Customer 85</v>
      </c>
      <c r="H87" t="str">
        <f>IFERROR(_xlfn.XLOOKUP(Table1[[#This Row],[region]],Mappings!$C$3:$C$8,Mappings!$D$3:$D$8,,0,1),"Unknown")</f>
        <v>Unknown</v>
      </c>
      <c r="I87" t="s">
        <v>78</v>
      </c>
      <c r="J87" t="str">
        <f>IFERROR(_xlfn.XLOOKUP(Table1[[#This Row],[sales_channel]],Table4[Original],Table4[Clean],,0,1),"Unknown")</f>
        <v>Mobile</v>
      </c>
      <c r="K87" t="s">
        <v>51</v>
      </c>
      <c r="L87" t="str">
        <f>IFERROR(_xlfn.XLOOKUP(Table1[[#This Row],[product]],Table3[Original],Table3[Product_clean],,0,1),"Unknown")</f>
        <v>Laptop</v>
      </c>
      <c r="M87" s="6">
        <v>3</v>
      </c>
      <c r="N87">
        <f>IF(ISNUMBER(Table1[[#This Row],[quantity]]),Table1[[#This Row],[quantity]],IFERROR(VLOOKUP(Table1[[#This Row],[quantity]],Table5[#All],2,FALSE),"Unknown"))</f>
        <v>3</v>
      </c>
      <c r="P87" t="str">
        <f>IFERROR(VALUE(SUBSTITUTE(SUBSTITUTE(SUBSTITUTE(Table1[[#This Row],[revenue]],"EUR",""),"$",""),".",",")),"")</f>
        <v/>
      </c>
      <c r="R87" t="str">
        <f>IF(OR(Table1[[#This Row],[currency]]="EUR",Table1[[#This Row],[currency]]="€"),"EUR",IF(OR(Table1[[#This Row],[currency]]="USD",Table1[[#This Row],[currency]]="$"),"USD","Unknown"))</f>
        <v>Unknown</v>
      </c>
      <c r="S87" t="s">
        <v>30</v>
      </c>
      <c r="T87" t="str">
        <f>IFERROR(_xlfn.XLOOKUP(Table1[[#This Row],[order_status]],Table8[Original],Table8[Clean],,0,1),"Unknown")</f>
        <v>Delivered</v>
      </c>
      <c r="U87">
        <v>5</v>
      </c>
      <c r="V87">
        <f>IF(ISNUMBER(Table1[[#This Row],[delivery_days]]),Table1[[#This Row],[delivery_days]],IFERROR(_xlfn.XLOOKUP(Table1[[#This Row],[delivery_days]],Table57[Original],Table57[Clean],,0,1),"Unknown"))</f>
        <v>5</v>
      </c>
      <c r="W87" t="s">
        <v>24</v>
      </c>
    </row>
    <row r="88" spans="1:23" x14ac:dyDescent="0.3">
      <c r="B88" t="str">
        <f>IF(ISBLANK(Table1[[#This Row],[order_id]]),"",IF(LEFT(Table1[[#This Row],[order_id]],3)="ORD",Table1[[#This Row],[order_id]],"ORD-" &amp; Table1[[#This Row],[order_id]]))</f>
        <v/>
      </c>
      <c r="D88" s="1" t="str">
        <f>IFERROR(DATEVALUE(Table1[[#This Row],[order_date]]),"")</f>
        <v/>
      </c>
      <c r="E88" t="s">
        <v>227</v>
      </c>
      <c r="F88" t="str">
        <f>IF(ISBLANK(Table1[[#This Row],[customer_name]]),"Unknown Customer",PROPER(SUBSTITUTE(Table1[[#This Row],[customer_name]],"Cust.","Customer")))</f>
        <v>Customer 86</v>
      </c>
      <c r="G88" t="s">
        <v>73</v>
      </c>
      <c r="H88" t="str">
        <f>IFERROR(_xlfn.XLOOKUP(Table1[[#This Row],[region]],Mappings!$C$3:$C$8,Mappings!$D$3:$D$8,,0,1),"Unknown")</f>
        <v>Europe</v>
      </c>
      <c r="J88" t="str">
        <f>IFERROR(_xlfn.XLOOKUP(Table1[[#This Row],[sales_channel]],Table4[Original],Table4[Clean],,0,1),"Unknown")</f>
        <v>Unknown</v>
      </c>
      <c r="K88" t="s">
        <v>28</v>
      </c>
      <c r="L88" t="str">
        <f>IFERROR(_xlfn.XLOOKUP(Table1[[#This Row],[product]],Table3[Original],Table3[Product_clean],,0,1),"Unknown")</f>
        <v>Laptop</v>
      </c>
      <c r="M88" s="6" t="s">
        <v>83</v>
      </c>
      <c r="N88">
        <f>IF(ISNUMBER(Table1[[#This Row],[quantity]]),Table1[[#This Row],[quantity]],IFERROR(VLOOKUP(Table1[[#This Row],[quantity]],Table5[#All],2,FALSE),"Unknown"))</f>
        <v>2</v>
      </c>
      <c r="O88" t="s">
        <v>228</v>
      </c>
      <c r="P88">
        <f>IFERROR(VALUE(SUBSTITUTE(SUBSTITUTE(SUBSTITUTE(Table1[[#This Row],[revenue]],"EUR",""),"$",""),".",",")),"")</f>
        <v>2259.58</v>
      </c>
      <c r="Q88" t="s">
        <v>17</v>
      </c>
      <c r="R88" t="str">
        <f>IF(OR(Table1[[#This Row],[currency]]="EUR",Table1[[#This Row],[currency]]="€"),"EUR",IF(OR(Table1[[#This Row],[currency]]="USD",Table1[[#This Row],[currency]]="$"),"USD","Unknown"))</f>
        <v>EUR</v>
      </c>
      <c r="S88" t="s">
        <v>18</v>
      </c>
      <c r="T88" t="str">
        <f>IFERROR(_xlfn.XLOOKUP(Table1[[#This Row],[order_status]],Table8[Original],Table8[Clean],,0,1),"Unknown")</f>
        <v>Pending</v>
      </c>
      <c r="U88" t="s">
        <v>36</v>
      </c>
      <c r="V88">
        <f>IF(ISNUMBER(Table1[[#This Row],[delivery_days]]),Table1[[#This Row],[delivery_days]],IFERROR(_xlfn.XLOOKUP(Table1[[#This Row],[delivery_days]],Table57[Original],Table57[Clean],,0,1),"Unknown"))</f>
        <v>5</v>
      </c>
      <c r="W88" t="s">
        <v>24</v>
      </c>
    </row>
    <row r="89" spans="1:23" x14ac:dyDescent="0.3">
      <c r="B89" t="str">
        <f>IF(ISBLANK(Table1[[#This Row],[order_id]]),"",IF(LEFT(Table1[[#This Row],[order_id]],3)="ORD",Table1[[#This Row],[order_id]],"ORD-" &amp; Table1[[#This Row],[order_id]]))</f>
        <v/>
      </c>
      <c r="D89" s="1" t="str">
        <f>IFERROR(DATEVALUE(Table1[[#This Row],[order_date]]),"")</f>
        <v/>
      </c>
      <c r="E89" t="s">
        <v>229</v>
      </c>
      <c r="F89" t="str">
        <f>IF(ISBLANK(Table1[[#This Row],[customer_name]]),"Unknown Customer",PROPER(SUBSTITUTE(Table1[[#This Row],[customer_name]],"Cust.","Customer")))</f>
        <v>Customer 87</v>
      </c>
      <c r="H89" t="str">
        <f>IFERROR(_xlfn.XLOOKUP(Table1[[#This Row],[region]],Mappings!$C$3:$C$8,Mappings!$D$3:$D$8,,0,1),"Unknown")</f>
        <v>Unknown</v>
      </c>
      <c r="I89" t="s">
        <v>78</v>
      </c>
      <c r="J89" t="str">
        <f>IFERROR(_xlfn.XLOOKUP(Table1[[#This Row],[sales_channel]],Table4[Original],Table4[Clean],,0,1),"Unknown")</f>
        <v>Mobile</v>
      </c>
      <c r="K89" t="s">
        <v>51</v>
      </c>
      <c r="L89" t="str">
        <f>IFERROR(_xlfn.XLOOKUP(Table1[[#This Row],[product]],Table3[Original],Table3[Product_clean],,0,1),"Unknown")</f>
        <v>Laptop</v>
      </c>
      <c r="M89" s="6">
        <v>2</v>
      </c>
      <c r="N89">
        <f>IF(ISNUMBER(Table1[[#This Row],[quantity]]),Table1[[#This Row],[quantity]],IFERROR(VLOOKUP(Table1[[#This Row],[quantity]],Table5[#All],2,FALSE),"Unknown"))</f>
        <v>2</v>
      </c>
      <c r="O89">
        <v>703.03</v>
      </c>
      <c r="P89">
        <f>IFERROR(VALUE(SUBSTITUTE(SUBSTITUTE(SUBSTITUTE(Table1[[#This Row],[revenue]],"EUR",""),"$",""),".",",")),"")</f>
        <v>703.03</v>
      </c>
      <c r="Q89" t="s">
        <v>17</v>
      </c>
      <c r="R89" t="str">
        <f>IF(OR(Table1[[#This Row],[currency]]="EUR",Table1[[#This Row],[currency]]="€"),"EUR",IF(OR(Table1[[#This Row],[currency]]="USD",Table1[[#This Row],[currency]]="$"),"USD","Unknown"))</f>
        <v>EUR</v>
      </c>
      <c r="S89" t="s">
        <v>30</v>
      </c>
      <c r="T89" t="str">
        <f>IFERROR(_xlfn.XLOOKUP(Table1[[#This Row],[order_status]],Table8[Original],Table8[Clean],,0,1),"Unknown")</f>
        <v>Delivered</v>
      </c>
      <c r="U89">
        <v>3</v>
      </c>
      <c r="V89">
        <f>IF(ISNUMBER(Table1[[#This Row],[delivery_days]]),Table1[[#This Row],[delivery_days]],IFERROR(_xlfn.XLOOKUP(Table1[[#This Row],[delivery_days]],Table57[Original],Table57[Clean],,0,1),"Unknown"))</f>
        <v>3</v>
      </c>
    </row>
    <row r="90" spans="1:23" x14ac:dyDescent="0.3">
      <c r="A90" t="s">
        <v>230</v>
      </c>
      <c r="B90" t="str">
        <f>IF(ISBLANK(Table1[[#This Row],[order_id]]),"",IF(LEFT(Table1[[#This Row],[order_id]],3)="ORD",Table1[[#This Row],[order_id]],"ORD-" &amp; Table1[[#This Row],[order_id]]))</f>
        <v>ORD-1088</v>
      </c>
      <c r="D90" s="1" t="str">
        <f>IFERROR(DATEVALUE(Table1[[#This Row],[order_date]]),"")</f>
        <v/>
      </c>
      <c r="E90" t="s">
        <v>231</v>
      </c>
      <c r="F90" t="str">
        <f>IF(ISBLANK(Table1[[#This Row],[customer_name]]),"Unknown Customer",PROPER(SUBSTITUTE(Table1[[#This Row],[customer_name]],"Cust.","Customer")))</f>
        <v>Customer 88</v>
      </c>
      <c r="H90" t="str">
        <f>IFERROR(_xlfn.XLOOKUP(Table1[[#This Row],[region]],Mappings!$C$3:$C$8,Mappings!$D$3:$D$8,,0,1),"Unknown")</f>
        <v>Unknown</v>
      </c>
      <c r="J90" t="str">
        <f>IFERROR(_xlfn.XLOOKUP(Table1[[#This Row],[sales_channel]],Table4[Original],Table4[Clean],,0,1),"Unknown")</f>
        <v>Unknown</v>
      </c>
      <c r="K90" t="s">
        <v>15</v>
      </c>
      <c r="L90" t="str">
        <f>IFERROR(_xlfn.XLOOKUP(Table1[[#This Row],[product]],Table3[Original],Table3[Product_clean],,0,1),"Unknown")</f>
        <v>Tablet</v>
      </c>
      <c r="M90" s="6"/>
      <c r="N90" t="str">
        <f>IF(ISNUMBER(Table1[[#This Row],[quantity]]),Table1[[#This Row],[quantity]],IFERROR(VLOOKUP(Table1[[#This Row],[quantity]],Table5[#All],2,FALSE),"Unknown"))</f>
        <v>Unknown</v>
      </c>
      <c r="O90" t="s">
        <v>232</v>
      </c>
      <c r="P90">
        <f>IFERROR(VALUE(SUBSTITUTE(SUBSTITUTE(SUBSTITUTE(Table1[[#This Row],[revenue]],"EUR",""),"$",""),".",",")),"")</f>
        <v>336.72</v>
      </c>
      <c r="Q90" t="s">
        <v>22</v>
      </c>
      <c r="R90" t="str">
        <f>IF(OR(Table1[[#This Row],[currency]]="EUR",Table1[[#This Row],[currency]]="€"),"EUR",IF(OR(Table1[[#This Row],[currency]]="USD",Table1[[#This Row],[currency]]="$"),"USD","Unknown"))</f>
        <v>USD</v>
      </c>
      <c r="S90" t="s">
        <v>18</v>
      </c>
      <c r="T90" t="str">
        <f>IFERROR(_xlfn.XLOOKUP(Table1[[#This Row],[order_status]],Table8[Original],Table8[Clean],,0,1),"Unknown")</f>
        <v>Pending</v>
      </c>
      <c r="V90" t="str">
        <f>IF(ISNUMBER(Table1[[#This Row],[delivery_days]]),Table1[[#This Row],[delivery_days]],IFERROR(_xlfn.XLOOKUP(Table1[[#This Row],[delivery_days]],Table57[Original],Table57[Clean],,0,1),"Unknown"))</f>
        <v>Unknown</v>
      </c>
      <c r="W90" t="s">
        <v>37</v>
      </c>
    </row>
    <row r="91" spans="1:23" x14ac:dyDescent="0.3">
      <c r="B91" t="str">
        <f>IF(ISBLANK(Table1[[#This Row],[order_id]]),"",IF(LEFT(Table1[[#This Row],[order_id]],3)="ORD",Table1[[#This Row],[order_id]],"ORD-" &amp; Table1[[#This Row],[order_id]]))</f>
        <v/>
      </c>
      <c r="D91" s="1" t="str">
        <f>IFERROR(DATEVALUE(Table1[[#This Row],[order_date]]),"")</f>
        <v/>
      </c>
      <c r="E91" t="s">
        <v>233</v>
      </c>
      <c r="F91" t="str">
        <f>IF(ISBLANK(Table1[[#This Row],[customer_name]]),"Unknown Customer",PROPER(SUBSTITUTE(Table1[[#This Row],[customer_name]],"Cust.","Customer")))</f>
        <v>Customer 89</v>
      </c>
      <c r="G91" t="s">
        <v>73</v>
      </c>
      <c r="H91" t="str">
        <f>IFERROR(_xlfn.XLOOKUP(Table1[[#This Row],[region]],Mappings!$C$3:$C$8,Mappings!$D$3:$D$8,,0,1),"Unknown")</f>
        <v>Europe</v>
      </c>
      <c r="J91" t="str">
        <f>IFERROR(_xlfn.XLOOKUP(Table1[[#This Row],[sales_channel]],Table4[Original],Table4[Clean],,0,1),"Unknown")</f>
        <v>Unknown</v>
      </c>
      <c r="K91" t="s">
        <v>102</v>
      </c>
      <c r="L91" t="str">
        <f>IFERROR(_xlfn.XLOOKUP(Table1[[#This Row],[product]],Table3[Original],Table3[Product_clean],,0,1),"Unknown")</f>
        <v>Phone</v>
      </c>
      <c r="M91" s="6">
        <v>2</v>
      </c>
      <c r="N91">
        <f>IF(ISNUMBER(Table1[[#This Row],[quantity]]),Table1[[#This Row],[quantity]],IFERROR(VLOOKUP(Table1[[#This Row],[quantity]],Table5[#All],2,FALSE),"Unknown"))</f>
        <v>2</v>
      </c>
      <c r="P91" t="str">
        <f>IFERROR(VALUE(SUBSTITUTE(SUBSTITUTE(SUBSTITUTE(Table1[[#This Row],[revenue]],"EUR",""),"$",""),".",",")),"")</f>
        <v/>
      </c>
      <c r="Q91" t="s">
        <v>22</v>
      </c>
      <c r="R91" t="str">
        <f>IF(OR(Table1[[#This Row],[currency]]="EUR",Table1[[#This Row],[currency]]="€"),"EUR",IF(OR(Table1[[#This Row],[currency]]="USD",Table1[[#This Row],[currency]]="$"),"USD","Unknown"))</f>
        <v>USD</v>
      </c>
      <c r="S91" t="s">
        <v>47</v>
      </c>
      <c r="T91" t="str">
        <f>IFERROR(_xlfn.XLOOKUP(Table1[[#This Row],[order_status]],Table8[Original],Table8[Clean],,0,1),"Unknown")</f>
        <v>Returned</v>
      </c>
      <c r="U91">
        <v>2</v>
      </c>
      <c r="V91">
        <f>IF(ISNUMBER(Table1[[#This Row],[delivery_days]]),Table1[[#This Row],[delivery_days]],IFERROR(_xlfn.XLOOKUP(Table1[[#This Row],[delivery_days]],Table57[Original],Table57[Clean],,0,1),"Unknown"))</f>
        <v>2</v>
      </c>
      <c r="W91" t="s">
        <v>24</v>
      </c>
    </row>
    <row r="92" spans="1:23" x14ac:dyDescent="0.3">
      <c r="B92" t="str">
        <f>IF(ISBLANK(Table1[[#This Row],[order_id]]),"",IF(LEFT(Table1[[#This Row],[order_id]],3)="ORD",Table1[[#This Row],[order_id]],"ORD-" &amp; Table1[[#This Row],[order_id]]))</f>
        <v/>
      </c>
      <c r="C92" t="s">
        <v>234</v>
      </c>
      <c r="D92" s="1" t="str">
        <f>IFERROR(DATEVALUE(Table1[[#This Row],[order_date]]),"")</f>
        <v/>
      </c>
      <c r="E92" t="s">
        <v>235</v>
      </c>
      <c r="F92" t="str">
        <f>IF(ISBLANK(Table1[[#This Row],[customer_name]]),"Unknown Customer",PROPER(SUBSTITUTE(Table1[[#This Row],[customer_name]],"Cust.","Customer")))</f>
        <v>Customer 90</v>
      </c>
      <c r="G92" t="s">
        <v>32</v>
      </c>
      <c r="H92" t="str">
        <f>IFERROR(_xlfn.XLOOKUP(Table1[[#This Row],[region]],Mappings!$C$3:$C$8,Mappings!$D$3:$D$8,,0,1),"Unknown")</f>
        <v>Europe</v>
      </c>
      <c r="I92" t="s">
        <v>50</v>
      </c>
      <c r="J92" t="str">
        <f>IFERROR(_xlfn.XLOOKUP(Table1[[#This Row],[sales_channel]],Table4[Original],Table4[Clean],,0,1),"Unknown")</f>
        <v>Mobile</v>
      </c>
      <c r="K92" t="s">
        <v>28</v>
      </c>
      <c r="L92" t="str">
        <f>IFERROR(_xlfn.XLOOKUP(Table1[[#This Row],[product]],Table3[Original],Table3[Product_clean],,0,1),"Unknown")</f>
        <v>Laptop</v>
      </c>
      <c r="M92" s="6">
        <v>1</v>
      </c>
      <c r="N92">
        <f>IF(ISNUMBER(Table1[[#This Row],[quantity]]),Table1[[#This Row],[quantity]],IFERROR(VLOOKUP(Table1[[#This Row],[quantity]],Table5[#All],2,FALSE),"Unknown"))</f>
        <v>1</v>
      </c>
      <c r="O92" t="s">
        <v>236</v>
      </c>
      <c r="P92">
        <f>IFERROR(VALUE(SUBSTITUTE(SUBSTITUTE(SUBSTITUTE(Table1[[#This Row],[revenue]],"EUR",""),"$",""),".",",")),"")</f>
        <v>2943.74</v>
      </c>
      <c r="Q92" t="s">
        <v>22</v>
      </c>
      <c r="R92" t="str">
        <f>IF(OR(Table1[[#This Row],[currency]]="EUR",Table1[[#This Row],[currency]]="€"),"EUR",IF(OR(Table1[[#This Row],[currency]]="USD",Table1[[#This Row],[currency]]="$"),"USD","Unknown"))</f>
        <v>USD</v>
      </c>
      <c r="S92" t="s">
        <v>30</v>
      </c>
      <c r="T92" t="str">
        <f>IFERROR(_xlfn.XLOOKUP(Table1[[#This Row],[order_status]],Table8[Original],Table8[Clean],,0,1),"Unknown")</f>
        <v>Delivered</v>
      </c>
      <c r="V92" t="str">
        <f>IF(ISNUMBER(Table1[[#This Row],[delivery_days]]),Table1[[#This Row],[delivery_days]],IFERROR(_xlfn.XLOOKUP(Table1[[#This Row],[delivery_days]],Table57[Original],Table57[Clean],,0,1),"Unknown"))</f>
        <v>Unknown</v>
      </c>
      <c r="W92" t="s">
        <v>37</v>
      </c>
    </row>
    <row r="93" spans="1:23" x14ac:dyDescent="0.3">
      <c r="A93">
        <v>1091</v>
      </c>
      <c r="B93" t="str">
        <f>IF(ISBLANK(Table1[[#This Row],[order_id]]),"",IF(LEFT(Table1[[#This Row],[order_id]],3)="ORD",Table1[[#This Row],[order_id]],"ORD-" &amp; Table1[[#This Row],[order_id]]))</f>
        <v>ORD-1091</v>
      </c>
      <c r="C93" t="s">
        <v>237</v>
      </c>
      <c r="D93" s="1" t="str">
        <f>IFERROR(DATEVALUE(Table1[[#This Row],[order_date]]),"")</f>
        <v/>
      </c>
      <c r="E93" t="s">
        <v>238</v>
      </c>
      <c r="F93" t="str">
        <f>IF(ISBLANK(Table1[[#This Row],[customer_name]]),"Unknown Customer",PROPER(SUBSTITUTE(Table1[[#This Row],[customer_name]],"Cust.","Customer")))</f>
        <v>Customer 91</v>
      </c>
      <c r="G93" t="s">
        <v>54</v>
      </c>
      <c r="H93" t="str">
        <f>IFERROR(_xlfn.XLOOKUP(Table1[[#This Row],[region]],Mappings!$C$3:$C$8,Mappings!$D$3:$D$8,,0,1),"Unknown")</f>
        <v>USA</v>
      </c>
      <c r="I93" t="s">
        <v>68</v>
      </c>
      <c r="J93" t="str">
        <f>IFERROR(_xlfn.XLOOKUP(Table1[[#This Row],[sales_channel]],Table4[Original],Table4[Clean],,0,1),"Unknown")</f>
        <v>Online</v>
      </c>
      <c r="K93" t="s">
        <v>28</v>
      </c>
      <c r="L93" t="str">
        <f>IFERROR(_xlfn.XLOOKUP(Table1[[#This Row],[product]],Table3[Original],Table3[Product_clean],,0,1),"Unknown")</f>
        <v>Laptop</v>
      </c>
      <c r="M93" s="6">
        <v>1</v>
      </c>
      <c r="N93">
        <f>IF(ISNUMBER(Table1[[#This Row],[quantity]]),Table1[[#This Row],[quantity]],IFERROR(VLOOKUP(Table1[[#This Row],[quantity]],Table5[#All],2,FALSE),"Unknown"))</f>
        <v>1</v>
      </c>
      <c r="O93">
        <v>1936.5</v>
      </c>
      <c r="P93">
        <f>IFERROR(VALUE(SUBSTITUTE(SUBSTITUTE(SUBSTITUTE(Table1[[#This Row],[revenue]],"EUR",""),"$",""),".",",")),"")</f>
        <v>1936.5</v>
      </c>
      <c r="R93" t="str">
        <f>IF(OR(Table1[[#This Row],[currency]]="EUR",Table1[[#This Row],[currency]]="€"),"EUR",IF(OR(Table1[[#This Row],[currency]]="USD",Table1[[#This Row],[currency]]="$"),"USD","Unknown"))</f>
        <v>Unknown</v>
      </c>
      <c r="S93" t="s">
        <v>23</v>
      </c>
      <c r="T93" t="str">
        <f>IFERROR(_xlfn.XLOOKUP(Table1[[#This Row],[order_status]],Table8[Original],Table8[Clean],,0,1),"Unknown")</f>
        <v>Delivered</v>
      </c>
      <c r="U93" t="s">
        <v>36</v>
      </c>
      <c r="V93">
        <f>IF(ISNUMBER(Table1[[#This Row],[delivery_days]]),Table1[[#This Row],[delivery_days]],IFERROR(_xlfn.XLOOKUP(Table1[[#This Row],[delivery_days]],Table57[Original],Table57[Clean],,0,1),"Unknown"))</f>
        <v>5</v>
      </c>
      <c r="W93" t="s">
        <v>37</v>
      </c>
    </row>
    <row r="94" spans="1:23" x14ac:dyDescent="0.3">
      <c r="A94">
        <v>1092</v>
      </c>
      <c r="B94" t="str">
        <f>IF(ISBLANK(Table1[[#This Row],[order_id]]),"",IF(LEFT(Table1[[#This Row],[order_id]],3)="ORD",Table1[[#This Row],[order_id]],"ORD-" &amp; Table1[[#This Row],[order_id]]))</f>
        <v>ORD-1092</v>
      </c>
      <c r="C94" t="s">
        <v>239</v>
      </c>
      <c r="D94" s="1">
        <f>IFERROR(DATEVALUE(Table1[[#This Row],[order_date]]),"")</f>
        <v>45708</v>
      </c>
      <c r="E94" t="s">
        <v>240</v>
      </c>
      <c r="F94" t="str">
        <f>IF(ISBLANK(Table1[[#This Row],[customer_name]]),"Unknown Customer",PROPER(SUBSTITUTE(Table1[[#This Row],[customer_name]],"Cust.","Customer")))</f>
        <v>Customer 92</v>
      </c>
      <c r="H94" t="str">
        <f>IFERROR(_xlfn.XLOOKUP(Table1[[#This Row],[region]],Mappings!$C$3:$C$8,Mappings!$D$3:$D$8,,0,1),"Unknown")</f>
        <v>Unknown</v>
      </c>
      <c r="I94" t="s">
        <v>27</v>
      </c>
      <c r="J94" t="str">
        <f>IFERROR(_xlfn.XLOOKUP(Table1[[#This Row],[sales_channel]],Table4[Original],Table4[Clean],,0,1),"Unknown")</f>
        <v>Online</v>
      </c>
      <c r="K94" t="s">
        <v>28</v>
      </c>
      <c r="L94" t="str">
        <f>IFERROR(_xlfn.XLOOKUP(Table1[[#This Row],[product]],Table3[Original],Table3[Product_clean],,0,1),"Unknown")</f>
        <v>Laptop</v>
      </c>
      <c r="M94" s="6"/>
      <c r="N94" t="str">
        <f>IF(ISNUMBER(Table1[[#This Row],[quantity]]),Table1[[#This Row],[quantity]],IFERROR(VLOOKUP(Table1[[#This Row],[quantity]],Table5[#All],2,FALSE),"Unknown"))</f>
        <v>Unknown</v>
      </c>
      <c r="O94" t="s">
        <v>241</v>
      </c>
      <c r="P94">
        <f>IFERROR(VALUE(SUBSTITUTE(SUBSTITUTE(SUBSTITUTE(Table1[[#This Row],[revenue]],"EUR",""),"$",""),".",",")),"")</f>
        <v>2615.6</v>
      </c>
      <c r="Q94" t="s">
        <v>55</v>
      </c>
      <c r="R94" t="str">
        <f>IF(OR(Table1[[#This Row],[currency]]="EUR",Table1[[#This Row],[currency]]="€"),"EUR",IF(OR(Table1[[#This Row],[currency]]="USD",Table1[[#This Row],[currency]]="$"),"USD","Unknown"))</f>
        <v>EUR</v>
      </c>
      <c r="S94" t="s">
        <v>23</v>
      </c>
      <c r="T94" t="str">
        <f>IFERROR(_xlfn.XLOOKUP(Table1[[#This Row],[order_status]],Table8[Original],Table8[Clean],,0,1),"Unknown")</f>
        <v>Delivered</v>
      </c>
      <c r="U94">
        <v>1</v>
      </c>
      <c r="V94">
        <f>IF(ISNUMBER(Table1[[#This Row],[delivery_days]]),Table1[[#This Row],[delivery_days]],IFERROR(_xlfn.XLOOKUP(Table1[[#This Row],[delivery_days]],Table57[Original],Table57[Clean],,0,1),"Unknown"))</f>
        <v>1</v>
      </c>
    </row>
    <row r="95" spans="1:23" x14ac:dyDescent="0.3">
      <c r="B95" t="str">
        <f>IF(ISBLANK(Table1[[#This Row],[order_id]]),"",IF(LEFT(Table1[[#This Row],[order_id]],3)="ORD",Table1[[#This Row],[order_id]],"ORD-" &amp; Table1[[#This Row],[order_id]]))</f>
        <v/>
      </c>
      <c r="C95" t="s">
        <v>242</v>
      </c>
      <c r="D95" s="1">
        <f>IFERROR(DATEVALUE(Table1[[#This Row],[order_date]]),"")</f>
        <v>45507</v>
      </c>
      <c r="E95" t="s">
        <v>243</v>
      </c>
      <c r="F95" t="str">
        <f>IF(ISBLANK(Table1[[#This Row],[customer_name]]),"Unknown Customer",PROPER(SUBSTITUTE(Table1[[#This Row],[customer_name]],"Cust.","Customer")))</f>
        <v>Customer 93</v>
      </c>
      <c r="G95" t="s">
        <v>54</v>
      </c>
      <c r="H95" t="str">
        <f>IFERROR(_xlfn.XLOOKUP(Table1[[#This Row],[region]],Mappings!$C$3:$C$8,Mappings!$D$3:$D$8,,0,1),"Unknown")</f>
        <v>USA</v>
      </c>
      <c r="I95" t="s">
        <v>50</v>
      </c>
      <c r="J95" t="str">
        <f>IFERROR(_xlfn.XLOOKUP(Table1[[#This Row],[sales_channel]],Table4[Original],Table4[Clean],,0,1),"Unknown")</f>
        <v>Mobile</v>
      </c>
      <c r="K95" t="s">
        <v>51</v>
      </c>
      <c r="L95" t="str">
        <f>IFERROR(_xlfn.XLOOKUP(Table1[[#This Row],[product]],Table3[Original],Table3[Product_clean],,0,1),"Unknown")</f>
        <v>Laptop</v>
      </c>
      <c r="M95" s="6">
        <v>2</v>
      </c>
      <c r="N95">
        <f>IF(ISNUMBER(Table1[[#This Row],[quantity]]),Table1[[#This Row],[quantity]],IFERROR(VLOOKUP(Table1[[#This Row],[quantity]],Table5[#All],2,FALSE),"Unknown"))</f>
        <v>2</v>
      </c>
      <c r="O95" t="s">
        <v>244</v>
      </c>
      <c r="P95">
        <f>IFERROR(VALUE(SUBSTITUTE(SUBSTITUTE(SUBSTITUTE(Table1[[#This Row],[revenue]],"EUR",""),"$",""),".",",")),"")</f>
        <v>93.84</v>
      </c>
      <c r="Q95" t="s">
        <v>22</v>
      </c>
      <c r="R95" t="str">
        <f>IF(OR(Table1[[#This Row],[currency]]="EUR",Table1[[#This Row],[currency]]="€"),"EUR",IF(OR(Table1[[#This Row],[currency]]="USD",Table1[[#This Row],[currency]]="$"),"USD","Unknown"))</f>
        <v>USD</v>
      </c>
      <c r="S95" t="s">
        <v>18</v>
      </c>
      <c r="T95" t="str">
        <f>IFERROR(_xlfn.XLOOKUP(Table1[[#This Row],[order_status]],Table8[Original],Table8[Clean],,0,1),"Unknown")</f>
        <v>Pending</v>
      </c>
      <c r="U95">
        <v>1</v>
      </c>
      <c r="V95">
        <f>IF(ISNUMBER(Table1[[#This Row],[delivery_days]]),Table1[[#This Row],[delivery_days]],IFERROR(_xlfn.XLOOKUP(Table1[[#This Row],[delivery_days]],Table57[Original],Table57[Clean],,0,1),"Unknown"))</f>
        <v>1</v>
      </c>
    </row>
    <row r="96" spans="1:23" x14ac:dyDescent="0.3">
      <c r="B96" t="str">
        <f>IF(ISBLANK(Table1[[#This Row],[order_id]]),"",IF(LEFT(Table1[[#This Row],[order_id]],3)="ORD",Table1[[#This Row],[order_id]],"ORD-" &amp; Table1[[#This Row],[order_id]]))</f>
        <v/>
      </c>
      <c r="C96" t="s">
        <v>245</v>
      </c>
      <c r="D96" s="1">
        <f>IFERROR(DATEVALUE(Table1[[#This Row],[order_date]]),"")</f>
        <v>45535</v>
      </c>
      <c r="F96" t="str">
        <f>IF(ISBLANK(Table1[[#This Row],[customer_name]]),"Unknown Customer",PROPER(SUBSTITUTE(Table1[[#This Row],[customer_name]],"Cust.","Customer")))</f>
        <v>Unknown Customer</v>
      </c>
      <c r="G96" t="s">
        <v>45</v>
      </c>
      <c r="H96" t="str">
        <f>IFERROR(_xlfn.XLOOKUP(Table1[[#This Row],[region]],Mappings!$C$3:$C$8,Mappings!$D$3:$D$8,,0,1),"Unknown")</f>
        <v>USA</v>
      </c>
      <c r="I96" t="s">
        <v>27</v>
      </c>
      <c r="J96" t="str">
        <f>IFERROR(_xlfn.XLOOKUP(Table1[[#This Row],[sales_channel]],Table4[Original],Table4[Clean],,0,1),"Unknown")</f>
        <v>Online</v>
      </c>
      <c r="K96" t="s">
        <v>33</v>
      </c>
      <c r="L96" t="str">
        <f>IFERROR(_xlfn.XLOOKUP(Table1[[#This Row],[product]],Table3[Original],Table3[Product_clean],,0,1),"Unknown")</f>
        <v>Tablet</v>
      </c>
      <c r="M96" s="6">
        <v>1</v>
      </c>
      <c r="N96">
        <f>IF(ISNUMBER(Table1[[#This Row],[quantity]]),Table1[[#This Row],[quantity]],IFERROR(VLOOKUP(Table1[[#This Row],[quantity]],Table5[#All],2,FALSE),"Unknown"))</f>
        <v>1</v>
      </c>
      <c r="O96" t="s">
        <v>246</v>
      </c>
      <c r="P96">
        <f>IFERROR(VALUE(SUBSTITUTE(SUBSTITUTE(SUBSTITUTE(Table1[[#This Row],[revenue]],"EUR",""),"$",""),".",",")),"")</f>
        <v>1372.41</v>
      </c>
      <c r="R96" t="str">
        <f>IF(OR(Table1[[#This Row],[currency]]="EUR",Table1[[#This Row],[currency]]="€"),"EUR",IF(OR(Table1[[#This Row],[currency]]="USD",Table1[[#This Row],[currency]]="$"),"USD","Unknown"))</f>
        <v>Unknown</v>
      </c>
      <c r="S96" t="s">
        <v>35</v>
      </c>
      <c r="T96" t="str">
        <f>IFERROR(_xlfn.XLOOKUP(Table1[[#This Row],[order_status]],Table8[Original],Table8[Clean],,0,1),"Unknown")</f>
        <v>Returned</v>
      </c>
      <c r="U96">
        <v>5</v>
      </c>
      <c r="V96">
        <f>IF(ISNUMBER(Table1[[#This Row],[delivery_days]]),Table1[[#This Row],[delivery_days]],IFERROR(_xlfn.XLOOKUP(Table1[[#This Row],[delivery_days]],Table57[Original],Table57[Clean],,0,1),"Unknown"))</f>
        <v>5</v>
      </c>
    </row>
    <row r="97" spans="1:23" x14ac:dyDescent="0.3">
      <c r="A97" t="s">
        <v>247</v>
      </c>
      <c r="B97" t="str">
        <f>IF(ISBLANK(Table1[[#This Row],[order_id]]),"",IF(LEFT(Table1[[#This Row],[order_id]],3)="ORD",Table1[[#This Row],[order_id]],"ORD-" &amp; Table1[[#This Row],[order_id]]))</f>
        <v>ORD-1095</v>
      </c>
      <c r="C97" t="s">
        <v>248</v>
      </c>
      <c r="D97" s="1">
        <f>IFERROR(DATEVALUE(Table1[[#This Row],[order_date]]),"")</f>
        <v>45323</v>
      </c>
      <c r="F97" t="str">
        <f>IF(ISBLANK(Table1[[#This Row],[customer_name]]),"Unknown Customer",PROPER(SUBSTITUTE(Table1[[#This Row],[customer_name]],"Cust.","Customer")))</f>
        <v>Unknown Customer</v>
      </c>
      <c r="H97" t="str">
        <f>IFERROR(_xlfn.XLOOKUP(Table1[[#This Row],[region]],Mappings!$C$3:$C$8,Mappings!$D$3:$D$8,,0,1),"Unknown")</f>
        <v>Unknown</v>
      </c>
      <c r="I97" t="s">
        <v>78</v>
      </c>
      <c r="J97" t="str">
        <f>IFERROR(_xlfn.XLOOKUP(Table1[[#This Row],[sales_channel]],Table4[Original],Table4[Clean],,0,1),"Unknown")</f>
        <v>Mobile</v>
      </c>
      <c r="K97" t="s">
        <v>51</v>
      </c>
      <c r="L97" t="str">
        <f>IFERROR(_xlfn.XLOOKUP(Table1[[#This Row],[product]],Table3[Original],Table3[Product_clean],,0,1),"Unknown")</f>
        <v>Laptop</v>
      </c>
      <c r="M97" s="6">
        <v>1</v>
      </c>
      <c r="N97">
        <f>IF(ISNUMBER(Table1[[#This Row],[quantity]]),Table1[[#This Row],[quantity]],IFERROR(VLOOKUP(Table1[[#This Row],[quantity]],Table5[#All],2,FALSE),"Unknown"))</f>
        <v>1</v>
      </c>
      <c r="P97" t="str">
        <f>IFERROR(VALUE(SUBSTITUTE(SUBSTITUTE(SUBSTITUTE(Table1[[#This Row],[revenue]],"EUR",""),"$",""),".",",")),"")</f>
        <v/>
      </c>
      <c r="Q97" t="s">
        <v>55</v>
      </c>
      <c r="R97" t="str">
        <f>IF(OR(Table1[[#This Row],[currency]]="EUR",Table1[[#This Row],[currency]]="€"),"EUR",IF(OR(Table1[[#This Row],[currency]]="USD",Table1[[#This Row],[currency]]="$"),"USD","Unknown"))</f>
        <v>EUR</v>
      </c>
      <c r="S97" t="s">
        <v>18</v>
      </c>
      <c r="T97" t="str">
        <f>IFERROR(_xlfn.XLOOKUP(Table1[[#This Row],[order_status]],Table8[Original],Table8[Clean],,0,1),"Unknown")</f>
        <v>Pending</v>
      </c>
      <c r="U97">
        <v>2</v>
      </c>
      <c r="V97">
        <f>IF(ISNUMBER(Table1[[#This Row],[delivery_days]]),Table1[[#This Row],[delivery_days]],IFERROR(_xlfn.XLOOKUP(Table1[[#This Row],[delivery_days]],Table57[Original],Table57[Clean],,0,1),"Unknown"))</f>
        <v>2</v>
      </c>
    </row>
    <row r="98" spans="1:23" x14ac:dyDescent="0.3">
      <c r="A98" t="s">
        <v>249</v>
      </c>
      <c r="B98" t="str">
        <f>IF(ISBLANK(Table1[[#This Row],[order_id]]),"",IF(LEFT(Table1[[#This Row],[order_id]],3)="ORD",Table1[[#This Row],[order_id]],"ORD-" &amp; Table1[[#This Row],[order_id]]))</f>
        <v>ORD-1096</v>
      </c>
      <c r="C98" t="s">
        <v>250</v>
      </c>
      <c r="D98" s="1">
        <f>IFERROR(DATEVALUE(Table1[[#This Row],[order_date]]),"")</f>
        <v>45415</v>
      </c>
      <c r="F98" t="str">
        <f>IF(ISBLANK(Table1[[#This Row],[customer_name]]),"Unknown Customer",PROPER(SUBSTITUTE(Table1[[#This Row],[customer_name]],"Cust.","Customer")))</f>
        <v>Unknown Customer</v>
      </c>
      <c r="G98" t="s">
        <v>45</v>
      </c>
      <c r="H98" t="str">
        <f>IFERROR(_xlfn.XLOOKUP(Table1[[#This Row],[region]],Mappings!$C$3:$C$8,Mappings!$D$3:$D$8,,0,1),"Unknown")</f>
        <v>USA</v>
      </c>
      <c r="I98" t="s">
        <v>68</v>
      </c>
      <c r="J98" t="str">
        <f>IFERROR(_xlfn.XLOOKUP(Table1[[#This Row],[sales_channel]],Table4[Original],Table4[Clean],,0,1),"Unknown")</f>
        <v>Online</v>
      </c>
      <c r="K98" t="s">
        <v>41</v>
      </c>
      <c r="L98" t="str">
        <f>IFERROR(_xlfn.XLOOKUP(Table1[[#This Row],[product]],Table3[Original],Table3[Product_clean],,0,1),"Unknown")</f>
        <v>Phone</v>
      </c>
      <c r="M98" s="6">
        <v>1</v>
      </c>
      <c r="N98">
        <f>IF(ISNUMBER(Table1[[#This Row],[quantity]]),Table1[[#This Row],[quantity]],IFERROR(VLOOKUP(Table1[[#This Row],[quantity]],Table5[#All],2,FALSE),"Unknown"))</f>
        <v>1</v>
      </c>
      <c r="O98" t="s">
        <v>251</v>
      </c>
      <c r="P98">
        <f>IFERROR(VALUE(SUBSTITUTE(SUBSTITUTE(SUBSTITUTE(Table1[[#This Row],[revenue]],"EUR",""),"$",""),".",",")),"")</f>
        <v>861.3</v>
      </c>
      <c r="Q98" t="s">
        <v>17</v>
      </c>
      <c r="R98" t="str">
        <f>IF(OR(Table1[[#This Row],[currency]]="EUR",Table1[[#This Row],[currency]]="€"),"EUR",IF(OR(Table1[[#This Row],[currency]]="USD",Table1[[#This Row],[currency]]="$"),"USD","Unknown"))</f>
        <v>EUR</v>
      </c>
      <c r="T98" t="str">
        <f>IFERROR(_xlfn.XLOOKUP(Table1[[#This Row],[order_status]],Table8[Original],Table8[Clean],,0,1),"Unknown")</f>
        <v>Unknown</v>
      </c>
      <c r="V98" t="str">
        <f>IF(ISNUMBER(Table1[[#This Row],[delivery_days]]),Table1[[#This Row],[delivery_days]],IFERROR(_xlfn.XLOOKUP(Table1[[#This Row],[delivery_days]],Table57[Original],Table57[Clean],,0,1),"Unknown"))</f>
        <v>Unknown</v>
      </c>
      <c r="W98" t="s">
        <v>37</v>
      </c>
    </row>
    <row r="99" spans="1:23" x14ac:dyDescent="0.3">
      <c r="A99" t="s">
        <v>252</v>
      </c>
      <c r="B99" t="str">
        <f>IF(ISBLANK(Table1[[#This Row],[order_id]]),"",IF(LEFT(Table1[[#This Row],[order_id]],3)="ORD",Table1[[#This Row],[order_id]],"ORD-" &amp; Table1[[#This Row],[order_id]]))</f>
        <v>ORD-1097</v>
      </c>
      <c r="C99" t="s">
        <v>253</v>
      </c>
      <c r="D99" s="1">
        <f>IFERROR(DATEVALUE(Table1[[#This Row],[order_date]]),"")</f>
        <v>45512</v>
      </c>
      <c r="F99" t="str">
        <f>IF(ISBLANK(Table1[[#This Row],[customer_name]]),"Unknown Customer",PROPER(SUBSTITUTE(Table1[[#This Row],[customer_name]],"Cust.","Customer")))</f>
        <v>Unknown Customer</v>
      </c>
      <c r="G99" t="s">
        <v>32</v>
      </c>
      <c r="H99" t="str">
        <f>IFERROR(_xlfn.XLOOKUP(Table1[[#This Row],[region]],Mappings!$C$3:$C$8,Mappings!$D$3:$D$8,,0,1),"Unknown")</f>
        <v>Europe</v>
      </c>
      <c r="I99" t="s">
        <v>78</v>
      </c>
      <c r="J99" t="str">
        <f>IFERROR(_xlfn.XLOOKUP(Table1[[#This Row],[sales_channel]],Table4[Original],Table4[Clean],,0,1),"Unknown")</f>
        <v>Mobile</v>
      </c>
      <c r="K99" t="s">
        <v>15</v>
      </c>
      <c r="L99" t="str">
        <f>IFERROR(_xlfn.XLOOKUP(Table1[[#This Row],[product]],Table3[Original],Table3[Product_clean],,0,1),"Unknown")</f>
        <v>Tablet</v>
      </c>
      <c r="M99" s="6">
        <v>1</v>
      </c>
      <c r="N99">
        <f>IF(ISNUMBER(Table1[[#This Row],[quantity]]),Table1[[#This Row],[quantity]],IFERROR(VLOOKUP(Table1[[#This Row],[quantity]],Table5[#All],2,FALSE),"Unknown"))</f>
        <v>1</v>
      </c>
      <c r="O99" t="s">
        <v>254</v>
      </c>
      <c r="P99">
        <f>IFERROR(VALUE(SUBSTITUTE(SUBSTITUTE(SUBSTITUTE(Table1[[#This Row],[revenue]],"EUR",""),"$",""),".",",")),"")</f>
        <v>1382.09</v>
      </c>
      <c r="Q99" t="s">
        <v>55</v>
      </c>
      <c r="R99" t="str">
        <f>IF(OR(Table1[[#This Row],[currency]]="EUR",Table1[[#This Row],[currency]]="€"),"EUR",IF(OR(Table1[[#This Row],[currency]]="USD",Table1[[#This Row],[currency]]="$"),"USD","Unknown"))</f>
        <v>EUR</v>
      </c>
      <c r="S99" t="s">
        <v>47</v>
      </c>
      <c r="T99" t="str">
        <f>IFERROR(_xlfn.XLOOKUP(Table1[[#This Row],[order_status]],Table8[Original],Table8[Clean],,0,1),"Unknown")</f>
        <v>Returned</v>
      </c>
      <c r="U99">
        <v>3</v>
      </c>
      <c r="V99">
        <f>IF(ISNUMBER(Table1[[#This Row],[delivery_days]]),Table1[[#This Row],[delivery_days]],IFERROR(_xlfn.XLOOKUP(Table1[[#This Row],[delivery_days]],Table57[Original],Table57[Clean],,0,1),"Unknown"))</f>
        <v>3</v>
      </c>
      <c r="W99" t="s">
        <v>24</v>
      </c>
    </row>
    <row r="100" spans="1:23" x14ac:dyDescent="0.3">
      <c r="A100">
        <v>1098</v>
      </c>
      <c r="B100" t="str">
        <f>IF(ISBLANK(Table1[[#This Row],[order_id]]),"",IF(LEFT(Table1[[#This Row],[order_id]],3)="ORD",Table1[[#This Row],[order_id]],"ORD-" &amp; Table1[[#This Row],[order_id]]))</f>
        <v>ORD-1098</v>
      </c>
      <c r="C100" t="s">
        <v>255</v>
      </c>
      <c r="D100" s="1">
        <f>IFERROR(DATEVALUE(Table1[[#This Row],[order_date]]),"")</f>
        <v>45483</v>
      </c>
      <c r="E100" t="s">
        <v>256</v>
      </c>
      <c r="F100" t="str">
        <f>IF(ISBLANK(Table1[[#This Row],[customer_name]]),"Unknown Customer",PROPER(SUBSTITUTE(Table1[[#This Row],[customer_name]],"Cust.","Customer")))</f>
        <v>Customer 98</v>
      </c>
      <c r="G100" t="s">
        <v>73</v>
      </c>
      <c r="H100" t="str">
        <f>IFERROR(_xlfn.XLOOKUP(Table1[[#This Row],[region]],Mappings!$C$3:$C$8,Mappings!$D$3:$D$8,,0,1),"Unknown")</f>
        <v>Europe</v>
      </c>
      <c r="I100" t="s">
        <v>78</v>
      </c>
      <c r="J100" t="str">
        <f>IFERROR(_xlfn.XLOOKUP(Table1[[#This Row],[sales_channel]],Table4[Original],Table4[Clean],,0,1),"Unknown")</f>
        <v>Mobile</v>
      </c>
      <c r="K100" t="s">
        <v>51</v>
      </c>
      <c r="L100" t="str">
        <f>IFERROR(_xlfn.XLOOKUP(Table1[[#This Row],[product]],Table3[Original],Table3[Product_clean],,0,1),"Unknown")</f>
        <v>Laptop</v>
      </c>
      <c r="M100" s="6">
        <v>3</v>
      </c>
      <c r="N100">
        <f>IF(ISNUMBER(Table1[[#This Row],[quantity]]),Table1[[#This Row],[quantity]],IFERROR(VLOOKUP(Table1[[#This Row],[quantity]],Table5[#All],2,FALSE),"Unknown"))</f>
        <v>3</v>
      </c>
      <c r="P100" t="str">
        <f>IFERROR(VALUE(SUBSTITUTE(SUBSTITUTE(SUBSTITUTE(Table1[[#This Row],[revenue]],"EUR",""),"$",""),".",",")),"")</f>
        <v/>
      </c>
      <c r="Q100" t="s">
        <v>58</v>
      </c>
      <c r="R100" t="str">
        <f>IF(OR(Table1[[#This Row],[currency]]="EUR",Table1[[#This Row],[currency]]="€"),"EUR",IF(OR(Table1[[#This Row],[currency]]="USD",Table1[[#This Row],[currency]]="$"),"USD","Unknown"))</f>
        <v>USD</v>
      </c>
      <c r="S100" t="s">
        <v>18</v>
      </c>
      <c r="T100" t="str">
        <f>IFERROR(_xlfn.XLOOKUP(Table1[[#This Row],[order_status]],Table8[Original],Table8[Clean],,0,1),"Unknown")</f>
        <v>Pending</v>
      </c>
      <c r="U100">
        <v>1</v>
      </c>
      <c r="V100">
        <f>IF(ISNUMBER(Table1[[#This Row],[delivery_days]]),Table1[[#This Row],[delivery_days]],IFERROR(_xlfn.XLOOKUP(Table1[[#This Row],[delivery_days]],Table57[Original],Table57[Clean],,0,1),"Unknown"))</f>
        <v>1</v>
      </c>
      <c r="W100" t="s">
        <v>24</v>
      </c>
    </row>
    <row r="101" spans="1:23" x14ac:dyDescent="0.3">
      <c r="B101" t="str">
        <f>IF(ISBLANK(Table1[[#This Row],[order_id]]),"",IF(LEFT(Table1[[#This Row],[order_id]],3)="ORD",Table1[[#This Row],[order_id]],"ORD-" &amp; Table1[[#This Row],[order_id]]))</f>
        <v/>
      </c>
      <c r="D101" s="1" t="str">
        <f>IFERROR(DATEVALUE(Table1[[#This Row],[order_date]]),"")</f>
        <v/>
      </c>
      <c r="E101" t="s">
        <v>257</v>
      </c>
      <c r="F101" t="str">
        <f>IF(ISBLANK(Table1[[#This Row],[customer_name]]),"Unknown Customer",PROPER(SUBSTITUTE(Table1[[#This Row],[customer_name]],"Cust.","Customer")))</f>
        <v>Customer 99</v>
      </c>
      <c r="G101" t="s">
        <v>26</v>
      </c>
      <c r="H101" t="str">
        <f>IFERROR(_xlfn.XLOOKUP(Table1[[#This Row],[region]],Mappings!$C$3:$C$8,Mappings!$D$3:$D$8,,0,1),"Unknown")</f>
        <v>Asia</v>
      </c>
      <c r="I101" t="s">
        <v>68</v>
      </c>
      <c r="J101" t="str">
        <f>IFERROR(_xlfn.XLOOKUP(Table1[[#This Row],[sales_channel]],Table4[Original],Table4[Clean],,0,1),"Unknown")</f>
        <v>Online</v>
      </c>
      <c r="K101" t="s">
        <v>102</v>
      </c>
      <c r="L101" t="str">
        <f>IFERROR(_xlfn.XLOOKUP(Table1[[#This Row],[product]],Table3[Original],Table3[Product_clean],,0,1),"Unknown")</f>
        <v>Phone</v>
      </c>
      <c r="M101" s="6">
        <v>3</v>
      </c>
      <c r="N101">
        <f>IF(ISNUMBER(Table1[[#This Row],[quantity]]),Table1[[#This Row],[quantity]],IFERROR(VLOOKUP(Table1[[#This Row],[quantity]],Table5[#All],2,FALSE),"Unknown"))</f>
        <v>3</v>
      </c>
      <c r="O101" t="s">
        <v>258</v>
      </c>
      <c r="P101">
        <f>IFERROR(VALUE(SUBSTITUTE(SUBSTITUTE(SUBSTITUTE(Table1[[#This Row],[revenue]],"EUR",""),"$",""),".",",")),"")</f>
        <v>410.58</v>
      </c>
      <c r="Q101" t="s">
        <v>17</v>
      </c>
      <c r="R101" t="str">
        <f>IF(OR(Table1[[#This Row],[currency]]="EUR",Table1[[#This Row],[currency]]="€"),"EUR",IF(OR(Table1[[#This Row],[currency]]="USD",Table1[[#This Row],[currency]]="$"),"USD","Unknown"))</f>
        <v>EUR</v>
      </c>
      <c r="S101" t="s">
        <v>18</v>
      </c>
      <c r="T101" t="str">
        <f>IFERROR(_xlfn.XLOOKUP(Table1[[#This Row],[order_status]],Table8[Original],Table8[Clean],,0,1),"Unknown")</f>
        <v>Pending</v>
      </c>
      <c r="U101" t="s">
        <v>36</v>
      </c>
      <c r="V101">
        <f>IF(ISNUMBER(Table1[[#This Row],[delivery_days]]),Table1[[#This Row],[delivery_days]],IFERROR(_xlfn.XLOOKUP(Table1[[#This Row],[delivery_days]],Table57[Original],Table57[Clean],,0,1),"Unknown"))</f>
        <v>5</v>
      </c>
      <c r="W101" t="s">
        <v>37</v>
      </c>
    </row>
    <row r="102" spans="1:23" x14ac:dyDescent="0.3">
      <c r="A102">
        <v>1100</v>
      </c>
      <c r="B102" t="str">
        <f>IF(ISBLANK(Table1[[#This Row],[order_id]]),"",IF(LEFT(Table1[[#This Row],[order_id]],3)="ORD",Table1[[#This Row],[order_id]],"ORD-" &amp; Table1[[#This Row],[order_id]]))</f>
        <v>ORD-1100</v>
      </c>
      <c r="C102" t="s">
        <v>259</v>
      </c>
      <c r="D102" s="1" t="str">
        <f>IFERROR(DATEVALUE(Table1[[#This Row],[order_date]]),"")</f>
        <v/>
      </c>
      <c r="E102" t="s">
        <v>260</v>
      </c>
      <c r="F102" t="str">
        <f>IF(ISBLANK(Table1[[#This Row],[customer_name]]),"Unknown Customer",PROPER(SUBSTITUTE(Table1[[#This Row],[customer_name]],"Cust.","Customer")))</f>
        <v>Customer 100</v>
      </c>
      <c r="G102" t="s">
        <v>73</v>
      </c>
      <c r="H102" t="str">
        <f>IFERROR(_xlfn.XLOOKUP(Table1[[#This Row],[region]],Mappings!$C$3:$C$8,Mappings!$D$3:$D$8,,0,1),"Unknown")</f>
        <v>Europe</v>
      </c>
      <c r="I102" t="s">
        <v>50</v>
      </c>
      <c r="J102" t="str">
        <f>IFERROR(_xlfn.XLOOKUP(Table1[[#This Row],[sales_channel]],Table4[Original],Table4[Clean],,0,1),"Unknown")</f>
        <v>Mobile</v>
      </c>
      <c r="K102" t="s">
        <v>33</v>
      </c>
      <c r="L102" t="str">
        <f>IFERROR(_xlfn.XLOOKUP(Table1[[#This Row],[product]],Table3[Original],Table3[Product_clean],,0,1),"Unknown")</f>
        <v>Tablet</v>
      </c>
      <c r="M102" s="6">
        <v>2</v>
      </c>
      <c r="N102">
        <f>IF(ISNUMBER(Table1[[#This Row],[quantity]]),Table1[[#This Row],[quantity]],IFERROR(VLOOKUP(Table1[[#This Row],[quantity]],Table5[#All],2,FALSE),"Unknown"))</f>
        <v>2</v>
      </c>
      <c r="O102" t="s">
        <v>261</v>
      </c>
      <c r="P102">
        <f>IFERROR(VALUE(SUBSTITUTE(SUBSTITUTE(SUBSTITUTE(Table1[[#This Row],[revenue]],"EUR",""),"$",""),".",",")),"")</f>
        <v>1987.37</v>
      </c>
      <c r="Q102" t="s">
        <v>22</v>
      </c>
      <c r="R102" t="str">
        <f>IF(OR(Table1[[#This Row],[currency]]="EUR",Table1[[#This Row],[currency]]="€"),"EUR",IF(OR(Table1[[#This Row],[currency]]="USD",Table1[[#This Row],[currency]]="$"),"USD","Unknown"))</f>
        <v>USD</v>
      </c>
      <c r="S102" t="s">
        <v>18</v>
      </c>
      <c r="T102" t="str">
        <f>IFERROR(_xlfn.XLOOKUP(Table1[[#This Row],[order_status]],Table8[Original],Table8[Clean],,0,1),"Unknown")</f>
        <v>Pending</v>
      </c>
      <c r="U102" t="s">
        <v>36</v>
      </c>
      <c r="V102">
        <f>IF(ISNUMBER(Table1[[#This Row],[delivery_days]]),Table1[[#This Row],[delivery_days]],IFERROR(_xlfn.XLOOKUP(Table1[[#This Row],[delivery_days]],Table57[Original],Table57[Clean],,0,1),"Unknown"))</f>
        <v>5</v>
      </c>
    </row>
    <row r="103" spans="1:23" x14ac:dyDescent="0.3">
      <c r="A103">
        <v>1101</v>
      </c>
      <c r="B103" t="str">
        <f>IF(ISBLANK(Table1[[#This Row],[order_id]]),"",IF(LEFT(Table1[[#This Row],[order_id]],3)="ORD",Table1[[#This Row],[order_id]],"ORD-" &amp; Table1[[#This Row],[order_id]]))</f>
        <v>ORD-1101</v>
      </c>
      <c r="C103" t="s">
        <v>262</v>
      </c>
      <c r="D103" s="1">
        <f>IFERROR(DATEVALUE(Table1[[#This Row],[order_date]]),"")</f>
        <v>45603</v>
      </c>
      <c r="E103" t="s">
        <v>263</v>
      </c>
      <c r="F103" t="str">
        <f>IF(ISBLANK(Table1[[#This Row],[customer_name]]),"Unknown Customer",PROPER(SUBSTITUTE(Table1[[#This Row],[customer_name]],"Cust.","Customer")))</f>
        <v>Customer 101</v>
      </c>
      <c r="H103" t="str">
        <f>IFERROR(_xlfn.XLOOKUP(Table1[[#This Row],[region]],Mappings!$C$3:$C$8,Mappings!$D$3:$D$8,,0,1),"Unknown")</f>
        <v>Unknown</v>
      </c>
      <c r="I103" t="s">
        <v>50</v>
      </c>
      <c r="J103" t="str">
        <f>IFERROR(_xlfn.XLOOKUP(Table1[[#This Row],[sales_channel]],Table4[Original],Table4[Clean],,0,1),"Unknown")</f>
        <v>Mobile</v>
      </c>
      <c r="K103" t="s">
        <v>102</v>
      </c>
      <c r="L103" t="str">
        <f>IFERROR(_xlfn.XLOOKUP(Table1[[#This Row],[product]],Table3[Original],Table3[Product_clean],,0,1),"Unknown")</f>
        <v>Phone</v>
      </c>
      <c r="M103" s="6">
        <v>3</v>
      </c>
      <c r="N103">
        <f>IF(ISNUMBER(Table1[[#This Row],[quantity]]),Table1[[#This Row],[quantity]],IFERROR(VLOOKUP(Table1[[#This Row],[quantity]],Table5[#All],2,FALSE),"Unknown"))</f>
        <v>3</v>
      </c>
      <c r="O103" t="s">
        <v>264</v>
      </c>
      <c r="P103">
        <f>IFERROR(VALUE(SUBSTITUTE(SUBSTITUTE(SUBSTITUTE(Table1[[#This Row],[revenue]],"EUR",""),"$",""),".",",")),"")</f>
        <v>2790.8</v>
      </c>
      <c r="Q103" t="s">
        <v>17</v>
      </c>
      <c r="R103" t="str">
        <f>IF(OR(Table1[[#This Row],[currency]]="EUR",Table1[[#This Row],[currency]]="€"),"EUR",IF(OR(Table1[[#This Row],[currency]]="USD",Table1[[#This Row],[currency]]="$"),"USD","Unknown"))</f>
        <v>EUR</v>
      </c>
      <c r="S103" t="s">
        <v>23</v>
      </c>
      <c r="T103" t="str">
        <f>IFERROR(_xlfn.XLOOKUP(Table1[[#This Row],[order_status]],Table8[Original],Table8[Clean],,0,1),"Unknown")</f>
        <v>Delivered</v>
      </c>
      <c r="U103">
        <v>2</v>
      </c>
      <c r="V103">
        <f>IF(ISNUMBER(Table1[[#This Row],[delivery_days]]),Table1[[#This Row],[delivery_days]],IFERROR(_xlfn.XLOOKUP(Table1[[#This Row],[delivery_days]],Table57[Original],Table57[Clean],,0,1),"Unknown"))</f>
        <v>2</v>
      </c>
    </row>
    <row r="104" spans="1:23" x14ac:dyDescent="0.3">
      <c r="A104">
        <v>1102</v>
      </c>
      <c r="B104" t="str">
        <f>IF(ISBLANK(Table1[[#This Row],[order_id]]),"",IF(LEFT(Table1[[#This Row],[order_id]],3)="ORD",Table1[[#This Row],[order_id]],"ORD-" &amp; Table1[[#This Row],[order_id]]))</f>
        <v>ORD-1102</v>
      </c>
      <c r="C104" t="s">
        <v>265</v>
      </c>
      <c r="D104" s="1">
        <f>IFERROR(DATEVALUE(Table1[[#This Row],[order_date]]),"")</f>
        <v>45327</v>
      </c>
      <c r="F104" t="str">
        <f>IF(ISBLANK(Table1[[#This Row],[customer_name]]),"Unknown Customer",PROPER(SUBSTITUTE(Table1[[#This Row],[customer_name]],"Cust.","Customer")))</f>
        <v>Unknown Customer</v>
      </c>
      <c r="G104" t="s">
        <v>32</v>
      </c>
      <c r="H104" t="str">
        <f>IFERROR(_xlfn.XLOOKUP(Table1[[#This Row],[region]],Mappings!$C$3:$C$8,Mappings!$D$3:$D$8,,0,1),"Unknown")</f>
        <v>Europe</v>
      </c>
      <c r="I104" t="s">
        <v>78</v>
      </c>
      <c r="J104" t="str">
        <f>IFERROR(_xlfn.XLOOKUP(Table1[[#This Row],[sales_channel]],Table4[Original],Table4[Clean],,0,1),"Unknown")</f>
        <v>Mobile</v>
      </c>
      <c r="K104" t="s">
        <v>102</v>
      </c>
      <c r="L104" t="str">
        <f>IFERROR(_xlfn.XLOOKUP(Table1[[#This Row],[product]],Table3[Original],Table3[Product_clean],,0,1),"Unknown")</f>
        <v>Phone</v>
      </c>
      <c r="M104" s="6">
        <v>2</v>
      </c>
      <c r="N104">
        <f>IF(ISNUMBER(Table1[[#This Row],[quantity]]),Table1[[#This Row],[quantity]],IFERROR(VLOOKUP(Table1[[#This Row],[quantity]],Table5[#All],2,FALSE),"Unknown"))</f>
        <v>2</v>
      </c>
      <c r="O104">
        <v>468.53</v>
      </c>
      <c r="P104">
        <f>IFERROR(VALUE(SUBSTITUTE(SUBSTITUTE(SUBSTITUTE(Table1[[#This Row],[revenue]],"EUR",""),"$",""),".",",")),"")</f>
        <v>468.53</v>
      </c>
      <c r="Q104" t="s">
        <v>55</v>
      </c>
      <c r="R104" t="str">
        <f>IF(OR(Table1[[#This Row],[currency]]="EUR",Table1[[#This Row],[currency]]="€"),"EUR",IF(OR(Table1[[#This Row],[currency]]="USD",Table1[[#This Row],[currency]]="$"),"USD","Unknown"))</f>
        <v>EUR</v>
      </c>
      <c r="S104" t="s">
        <v>35</v>
      </c>
      <c r="T104" t="str">
        <f>IFERROR(_xlfn.XLOOKUP(Table1[[#This Row],[order_status]],Table8[Original],Table8[Clean],,0,1),"Unknown")</f>
        <v>Returned</v>
      </c>
      <c r="V104" t="str">
        <f>IF(ISNUMBER(Table1[[#This Row],[delivery_days]]),Table1[[#This Row],[delivery_days]],IFERROR(_xlfn.XLOOKUP(Table1[[#This Row],[delivery_days]],Table57[Original],Table57[Clean],,0,1),"Unknown"))</f>
        <v>Unknown</v>
      </c>
      <c r="W104" t="s">
        <v>24</v>
      </c>
    </row>
    <row r="105" spans="1:23" x14ac:dyDescent="0.3">
      <c r="A105">
        <v>1103</v>
      </c>
      <c r="B105" t="str">
        <f>IF(ISBLANK(Table1[[#This Row],[order_id]]),"",IF(LEFT(Table1[[#This Row],[order_id]],3)="ORD",Table1[[#This Row],[order_id]],"ORD-" &amp; Table1[[#This Row],[order_id]]))</f>
        <v>ORD-1103</v>
      </c>
      <c r="C105" t="s">
        <v>266</v>
      </c>
      <c r="D105" s="1">
        <f>IFERROR(DATEVALUE(Table1[[#This Row],[order_date]]),"")</f>
        <v>45689</v>
      </c>
      <c r="E105" t="s">
        <v>267</v>
      </c>
      <c r="F105" t="str">
        <f>IF(ISBLANK(Table1[[#This Row],[customer_name]]),"Unknown Customer",PROPER(SUBSTITUTE(Table1[[#This Row],[customer_name]],"Cust.","Customer")))</f>
        <v>Customer 103</v>
      </c>
      <c r="H105" t="str">
        <f>IFERROR(_xlfn.XLOOKUP(Table1[[#This Row],[region]],Mappings!$C$3:$C$8,Mappings!$D$3:$D$8,,0,1),"Unknown")</f>
        <v>Unknown</v>
      </c>
      <c r="I105" t="s">
        <v>68</v>
      </c>
      <c r="J105" t="str">
        <f>IFERROR(_xlfn.XLOOKUP(Table1[[#This Row],[sales_channel]],Table4[Original],Table4[Clean],,0,1),"Unknown")</f>
        <v>Online</v>
      </c>
      <c r="K105" t="s">
        <v>51</v>
      </c>
      <c r="L105" t="str">
        <f>IFERROR(_xlfn.XLOOKUP(Table1[[#This Row],[product]],Table3[Original],Table3[Product_clean],,0,1),"Unknown")</f>
        <v>Laptop</v>
      </c>
      <c r="M105" s="6">
        <v>1</v>
      </c>
      <c r="N105">
        <f>IF(ISNUMBER(Table1[[#This Row],[quantity]]),Table1[[#This Row],[quantity]],IFERROR(VLOOKUP(Table1[[#This Row],[quantity]],Table5[#All],2,FALSE),"Unknown"))</f>
        <v>1</v>
      </c>
      <c r="O105">
        <v>2827.15</v>
      </c>
      <c r="P105">
        <f>IFERROR(VALUE(SUBSTITUTE(SUBSTITUTE(SUBSTITUTE(Table1[[#This Row],[revenue]],"EUR",""),"$",""),".",",")),"")</f>
        <v>2827.15</v>
      </c>
      <c r="Q105" t="s">
        <v>55</v>
      </c>
      <c r="R105" t="str">
        <f>IF(OR(Table1[[#This Row],[currency]]="EUR",Table1[[#This Row],[currency]]="€"),"EUR",IF(OR(Table1[[#This Row],[currency]]="USD",Table1[[#This Row],[currency]]="$"),"USD","Unknown"))</f>
        <v>EUR</v>
      </c>
      <c r="S105" t="s">
        <v>47</v>
      </c>
      <c r="T105" t="str">
        <f>IFERROR(_xlfn.XLOOKUP(Table1[[#This Row],[order_status]],Table8[Original],Table8[Clean],,0,1),"Unknown")</f>
        <v>Returned</v>
      </c>
      <c r="V105" t="str">
        <f>IF(ISNUMBER(Table1[[#This Row],[delivery_days]]),Table1[[#This Row],[delivery_days]],IFERROR(_xlfn.XLOOKUP(Table1[[#This Row],[delivery_days]],Table57[Original],Table57[Clean],,0,1),"Unknown"))</f>
        <v>Unknown</v>
      </c>
    </row>
    <row r="106" spans="1:23" x14ac:dyDescent="0.3">
      <c r="A106" t="s">
        <v>268</v>
      </c>
      <c r="B106" t="str">
        <f>IF(ISBLANK(Table1[[#This Row],[order_id]]),"",IF(LEFT(Table1[[#This Row],[order_id]],3)="ORD",Table1[[#This Row],[order_id]],"ORD-" &amp; Table1[[#This Row],[order_id]]))</f>
        <v>ORD-1104</v>
      </c>
      <c r="C106" t="s">
        <v>269</v>
      </c>
      <c r="D106" s="1">
        <f>IFERROR(DATEVALUE(Table1[[#This Row],[order_date]]),"")</f>
        <v>45540</v>
      </c>
      <c r="E106" t="s">
        <v>270</v>
      </c>
      <c r="F106" t="str">
        <f>IF(ISBLANK(Table1[[#This Row],[customer_name]]),"Unknown Customer",PROPER(SUBSTITUTE(Table1[[#This Row],[customer_name]],"Cust.","Customer")))</f>
        <v>Customer 104</v>
      </c>
      <c r="G106" t="s">
        <v>26</v>
      </c>
      <c r="H106" t="str">
        <f>IFERROR(_xlfn.XLOOKUP(Table1[[#This Row],[region]],Mappings!$C$3:$C$8,Mappings!$D$3:$D$8,,0,1),"Unknown")</f>
        <v>Asia</v>
      </c>
      <c r="I106" t="s">
        <v>78</v>
      </c>
      <c r="J106" t="str">
        <f>IFERROR(_xlfn.XLOOKUP(Table1[[#This Row],[sales_channel]],Table4[Original],Table4[Clean],,0,1),"Unknown")</f>
        <v>Mobile</v>
      </c>
      <c r="K106" t="s">
        <v>51</v>
      </c>
      <c r="L106" t="str">
        <f>IFERROR(_xlfn.XLOOKUP(Table1[[#This Row],[product]],Table3[Original],Table3[Product_clean],,0,1),"Unknown")</f>
        <v>Laptop</v>
      </c>
      <c r="M106" s="6">
        <v>3</v>
      </c>
      <c r="N106">
        <f>IF(ISNUMBER(Table1[[#This Row],[quantity]]),Table1[[#This Row],[quantity]],IFERROR(VLOOKUP(Table1[[#This Row],[quantity]],Table5[#All],2,FALSE),"Unknown"))</f>
        <v>3</v>
      </c>
      <c r="P106" t="str">
        <f>IFERROR(VALUE(SUBSTITUTE(SUBSTITUTE(SUBSTITUTE(Table1[[#This Row],[revenue]],"EUR",""),"$",""),".",",")),"")</f>
        <v/>
      </c>
      <c r="R106" t="str">
        <f>IF(OR(Table1[[#This Row],[currency]]="EUR",Table1[[#This Row],[currency]]="€"),"EUR",IF(OR(Table1[[#This Row],[currency]]="USD",Table1[[#This Row],[currency]]="$"),"USD","Unknown"))</f>
        <v>Unknown</v>
      </c>
      <c r="S106" t="s">
        <v>47</v>
      </c>
      <c r="T106" t="str">
        <f>IFERROR(_xlfn.XLOOKUP(Table1[[#This Row],[order_status]],Table8[Original],Table8[Clean],,0,1),"Unknown")</f>
        <v>Returned</v>
      </c>
      <c r="U106" t="s">
        <v>36</v>
      </c>
      <c r="V106">
        <f>IF(ISNUMBER(Table1[[#This Row],[delivery_days]]),Table1[[#This Row],[delivery_days]],IFERROR(_xlfn.XLOOKUP(Table1[[#This Row],[delivery_days]],Table57[Original],Table57[Clean],,0,1),"Unknown"))</f>
        <v>5</v>
      </c>
      <c r="W106" t="s">
        <v>24</v>
      </c>
    </row>
    <row r="107" spans="1:23" x14ac:dyDescent="0.3">
      <c r="A107">
        <v>1105</v>
      </c>
      <c r="B107" t="str">
        <f>IF(ISBLANK(Table1[[#This Row],[order_id]]),"",IF(LEFT(Table1[[#This Row],[order_id]],3)="ORD",Table1[[#This Row],[order_id]],"ORD-" &amp; Table1[[#This Row],[order_id]]))</f>
        <v>ORD-1105</v>
      </c>
      <c r="C107" t="s">
        <v>271</v>
      </c>
      <c r="D107" s="1">
        <f>IFERROR(DATEVALUE(Table1[[#This Row],[order_date]]),"")</f>
        <v>45315</v>
      </c>
      <c r="E107" t="s">
        <v>272</v>
      </c>
      <c r="F107" t="str">
        <f>IF(ISBLANK(Table1[[#This Row],[customer_name]]),"Unknown Customer",PROPER(SUBSTITUTE(Table1[[#This Row],[customer_name]],"Cust.","Customer")))</f>
        <v>Customer 105</v>
      </c>
      <c r="G107" t="s">
        <v>54</v>
      </c>
      <c r="H107" t="str">
        <f>IFERROR(_xlfn.XLOOKUP(Table1[[#This Row],[region]],Mappings!$C$3:$C$8,Mappings!$D$3:$D$8,,0,1),"Unknown")</f>
        <v>USA</v>
      </c>
      <c r="I107" t="s">
        <v>27</v>
      </c>
      <c r="J107" t="str">
        <f>IFERROR(_xlfn.XLOOKUP(Table1[[#This Row],[sales_channel]],Table4[Original],Table4[Clean],,0,1),"Unknown")</f>
        <v>Online</v>
      </c>
      <c r="L107" t="str">
        <f>IFERROR(_xlfn.XLOOKUP(Table1[[#This Row],[product]],Table3[Original],Table3[Product_clean],,0,1),"Unknown")</f>
        <v>Unknown</v>
      </c>
      <c r="M107" s="6">
        <v>3</v>
      </c>
      <c r="N107">
        <f>IF(ISNUMBER(Table1[[#This Row],[quantity]]),Table1[[#This Row],[quantity]],IFERROR(VLOOKUP(Table1[[#This Row],[quantity]],Table5[#All],2,FALSE),"Unknown"))</f>
        <v>3</v>
      </c>
      <c r="O107">
        <v>700.53</v>
      </c>
      <c r="P107">
        <f>IFERROR(VALUE(SUBSTITUTE(SUBSTITUTE(SUBSTITUTE(Table1[[#This Row],[revenue]],"EUR",""),"$",""),".",",")),"")</f>
        <v>700.53</v>
      </c>
      <c r="Q107" t="s">
        <v>55</v>
      </c>
      <c r="R107" t="str">
        <f>IF(OR(Table1[[#This Row],[currency]]="EUR",Table1[[#This Row],[currency]]="€"),"EUR",IF(OR(Table1[[#This Row],[currency]]="USD",Table1[[#This Row],[currency]]="$"),"USD","Unknown"))</f>
        <v>EUR</v>
      </c>
      <c r="S107" t="s">
        <v>35</v>
      </c>
      <c r="T107" t="str">
        <f>IFERROR(_xlfn.XLOOKUP(Table1[[#This Row],[order_status]],Table8[Original],Table8[Clean],,0,1),"Unknown")</f>
        <v>Returned</v>
      </c>
      <c r="U107">
        <v>1</v>
      </c>
      <c r="V107">
        <f>IF(ISNUMBER(Table1[[#This Row],[delivery_days]]),Table1[[#This Row],[delivery_days]],IFERROR(_xlfn.XLOOKUP(Table1[[#This Row],[delivery_days]],Table57[Original],Table57[Clean],,0,1),"Unknown"))</f>
        <v>1</v>
      </c>
    </row>
    <row r="108" spans="1:23" x14ac:dyDescent="0.3">
      <c r="A108">
        <v>1106</v>
      </c>
      <c r="B108" t="str">
        <f>IF(ISBLANK(Table1[[#This Row],[order_id]]),"",IF(LEFT(Table1[[#This Row],[order_id]],3)="ORD",Table1[[#This Row],[order_id]],"ORD-" &amp; Table1[[#This Row],[order_id]]))</f>
        <v>ORD-1106</v>
      </c>
      <c r="D108" s="1" t="str">
        <f>IFERROR(DATEVALUE(Table1[[#This Row],[order_date]]),"")</f>
        <v/>
      </c>
      <c r="E108" t="s">
        <v>273</v>
      </c>
      <c r="F108" t="str">
        <f>IF(ISBLANK(Table1[[#This Row],[customer_name]]),"Unknown Customer",PROPER(SUBSTITUTE(Table1[[#This Row],[customer_name]],"Cust.","Customer")))</f>
        <v>Customer 106</v>
      </c>
      <c r="G108" t="s">
        <v>45</v>
      </c>
      <c r="H108" t="str">
        <f>IFERROR(_xlfn.XLOOKUP(Table1[[#This Row],[region]],Mappings!$C$3:$C$8,Mappings!$D$3:$D$8,,0,1),"Unknown")</f>
        <v>USA</v>
      </c>
      <c r="I108" t="s">
        <v>68</v>
      </c>
      <c r="J108" t="str">
        <f>IFERROR(_xlfn.XLOOKUP(Table1[[#This Row],[sales_channel]],Table4[Original],Table4[Clean],,0,1),"Unknown")</f>
        <v>Online</v>
      </c>
      <c r="L108" t="str">
        <f>IFERROR(_xlfn.XLOOKUP(Table1[[#This Row],[product]],Table3[Original],Table3[Product_clean],,0,1),"Unknown")</f>
        <v>Unknown</v>
      </c>
      <c r="M108" s="6">
        <v>3</v>
      </c>
      <c r="N108">
        <f>IF(ISNUMBER(Table1[[#This Row],[quantity]]),Table1[[#This Row],[quantity]],IFERROR(VLOOKUP(Table1[[#This Row],[quantity]],Table5[#All],2,FALSE),"Unknown"))</f>
        <v>3</v>
      </c>
      <c r="O108" t="s">
        <v>274</v>
      </c>
      <c r="P108">
        <f>IFERROR(VALUE(SUBSTITUTE(SUBSTITUTE(SUBSTITUTE(Table1[[#This Row],[revenue]],"EUR",""),"$",""),".",",")),"")</f>
        <v>2253.69</v>
      </c>
      <c r="Q108" t="s">
        <v>17</v>
      </c>
      <c r="R108" t="str">
        <f>IF(OR(Table1[[#This Row],[currency]]="EUR",Table1[[#This Row],[currency]]="€"),"EUR",IF(OR(Table1[[#This Row],[currency]]="USD",Table1[[#This Row],[currency]]="$"),"USD","Unknown"))</f>
        <v>EUR</v>
      </c>
      <c r="S108" t="s">
        <v>47</v>
      </c>
      <c r="T108" t="str">
        <f>IFERROR(_xlfn.XLOOKUP(Table1[[#This Row],[order_status]],Table8[Original],Table8[Clean],,0,1),"Unknown")</f>
        <v>Returned</v>
      </c>
      <c r="V108" t="str">
        <f>IF(ISNUMBER(Table1[[#This Row],[delivery_days]]),Table1[[#This Row],[delivery_days]],IFERROR(_xlfn.XLOOKUP(Table1[[#This Row],[delivery_days]],Table57[Original],Table57[Clean],,0,1),"Unknown"))</f>
        <v>Unknown</v>
      </c>
    </row>
    <row r="109" spans="1:23" x14ac:dyDescent="0.3">
      <c r="A109" t="s">
        <v>275</v>
      </c>
      <c r="B109" t="str">
        <f>IF(ISBLANK(Table1[[#This Row],[order_id]]),"",IF(LEFT(Table1[[#This Row],[order_id]],3)="ORD",Table1[[#This Row],[order_id]],"ORD-" &amp; Table1[[#This Row],[order_id]]))</f>
        <v>ORD-1107</v>
      </c>
      <c r="D109" s="1" t="str">
        <f>IFERROR(DATEVALUE(Table1[[#This Row],[order_date]]),"")</f>
        <v/>
      </c>
      <c r="F109" t="str">
        <f>IF(ISBLANK(Table1[[#This Row],[customer_name]]),"Unknown Customer",PROPER(SUBSTITUTE(Table1[[#This Row],[customer_name]],"Cust.","Customer")))</f>
        <v>Unknown Customer</v>
      </c>
      <c r="H109" t="str">
        <f>IFERROR(_xlfn.XLOOKUP(Table1[[#This Row],[region]],Mappings!$C$3:$C$8,Mappings!$D$3:$D$8,,0,1),"Unknown")</f>
        <v>Unknown</v>
      </c>
      <c r="J109" t="str">
        <f>IFERROR(_xlfn.XLOOKUP(Table1[[#This Row],[sales_channel]],Table4[Original],Table4[Clean],,0,1),"Unknown")</f>
        <v>Unknown</v>
      </c>
      <c r="K109" t="s">
        <v>41</v>
      </c>
      <c r="L109" t="str">
        <f>IFERROR(_xlfn.XLOOKUP(Table1[[#This Row],[product]],Table3[Original],Table3[Product_clean],,0,1),"Unknown")</f>
        <v>Phone</v>
      </c>
      <c r="M109" s="6">
        <v>3</v>
      </c>
      <c r="N109">
        <f>IF(ISNUMBER(Table1[[#This Row],[quantity]]),Table1[[#This Row],[quantity]],IFERROR(VLOOKUP(Table1[[#This Row],[quantity]],Table5[#All],2,FALSE),"Unknown"))</f>
        <v>3</v>
      </c>
      <c r="O109">
        <v>105.29</v>
      </c>
      <c r="P109">
        <f>IFERROR(VALUE(SUBSTITUTE(SUBSTITUTE(SUBSTITUTE(Table1[[#This Row],[revenue]],"EUR",""),"$",""),".",",")),"")</f>
        <v>105.29</v>
      </c>
      <c r="Q109" t="s">
        <v>17</v>
      </c>
      <c r="R109" t="str">
        <f>IF(OR(Table1[[#This Row],[currency]]="EUR",Table1[[#This Row],[currency]]="€"),"EUR",IF(OR(Table1[[#This Row],[currency]]="USD",Table1[[#This Row],[currency]]="$"),"USD","Unknown"))</f>
        <v>EUR</v>
      </c>
      <c r="S109" t="s">
        <v>47</v>
      </c>
      <c r="T109" t="str">
        <f>IFERROR(_xlfn.XLOOKUP(Table1[[#This Row],[order_status]],Table8[Original],Table8[Clean],,0,1),"Unknown")</f>
        <v>Returned</v>
      </c>
      <c r="U109">
        <v>1</v>
      </c>
      <c r="V109">
        <f>IF(ISNUMBER(Table1[[#This Row],[delivery_days]]),Table1[[#This Row],[delivery_days]],IFERROR(_xlfn.XLOOKUP(Table1[[#This Row],[delivery_days]],Table57[Original],Table57[Clean],,0,1),"Unknown"))</f>
        <v>1</v>
      </c>
      <c r="W109" t="s">
        <v>24</v>
      </c>
    </row>
    <row r="110" spans="1:23" x14ac:dyDescent="0.3">
      <c r="B110" t="str">
        <f>IF(ISBLANK(Table1[[#This Row],[order_id]]),"",IF(LEFT(Table1[[#This Row],[order_id]],3)="ORD",Table1[[#This Row],[order_id]],"ORD-" &amp; Table1[[#This Row],[order_id]]))</f>
        <v/>
      </c>
      <c r="C110" t="s">
        <v>276</v>
      </c>
      <c r="D110" s="1" t="str">
        <f>IFERROR(DATEVALUE(Table1[[#This Row],[order_date]]),"")</f>
        <v/>
      </c>
      <c r="E110" t="s">
        <v>277</v>
      </c>
      <c r="F110" t="str">
        <f>IF(ISBLANK(Table1[[#This Row],[customer_name]]),"Unknown Customer",PROPER(SUBSTITUTE(Table1[[#This Row],[customer_name]],"Cust.","Customer")))</f>
        <v>Customer 108</v>
      </c>
      <c r="G110" t="s">
        <v>32</v>
      </c>
      <c r="H110" t="str">
        <f>IFERROR(_xlfn.XLOOKUP(Table1[[#This Row],[region]],Mappings!$C$3:$C$8,Mappings!$D$3:$D$8,,0,1),"Unknown")</f>
        <v>Europe</v>
      </c>
      <c r="I110" t="s">
        <v>14</v>
      </c>
      <c r="J110" t="str">
        <f>IFERROR(_xlfn.XLOOKUP(Table1[[#This Row],[sales_channel]],Table4[Original],Table4[Clean],,0,1),"Unknown")</f>
        <v>Online</v>
      </c>
      <c r="K110" t="s">
        <v>28</v>
      </c>
      <c r="L110" t="str">
        <f>IFERROR(_xlfn.XLOOKUP(Table1[[#This Row],[product]],Table3[Original],Table3[Product_clean],,0,1),"Unknown")</f>
        <v>Laptop</v>
      </c>
      <c r="M110" s="6" t="s">
        <v>83</v>
      </c>
      <c r="N110">
        <f>IF(ISNUMBER(Table1[[#This Row],[quantity]]),Table1[[#This Row],[quantity]],IFERROR(VLOOKUP(Table1[[#This Row],[quantity]],Table5[#All],2,FALSE),"Unknown"))</f>
        <v>2</v>
      </c>
      <c r="P110" t="str">
        <f>IFERROR(VALUE(SUBSTITUTE(SUBSTITUTE(SUBSTITUTE(Table1[[#This Row],[revenue]],"EUR",""),"$",""),".",",")),"")</f>
        <v/>
      </c>
      <c r="R110" t="str">
        <f>IF(OR(Table1[[#This Row],[currency]]="EUR",Table1[[#This Row],[currency]]="€"),"EUR",IF(OR(Table1[[#This Row],[currency]]="USD",Table1[[#This Row],[currency]]="$"),"USD","Unknown"))</f>
        <v>Unknown</v>
      </c>
      <c r="S110" t="s">
        <v>47</v>
      </c>
      <c r="T110" t="str">
        <f>IFERROR(_xlfn.XLOOKUP(Table1[[#This Row],[order_status]],Table8[Original],Table8[Clean],,0,1),"Unknown")</f>
        <v>Returned</v>
      </c>
      <c r="U110" t="s">
        <v>36</v>
      </c>
      <c r="V110">
        <f>IF(ISNUMBER(Table1[[#This Row],[delivery_days]]),Table1[[#This Row],[delivery_days]],IFERROR(_xlfn.XLOOKUP(Table1[[#This Row],[delivery_days]],Table57[Original],Table57[Clean],,0,1),"Unknown"))</f>
        <v>5</v>
      </c>
    </row>
    <row r="111" spans="1:23" x14ac:dyDescent="0.3">
      <c r="A111">
        <v>1109</v>
      </c>
      <c r="B111" t="str">
        <f>IF(ISBLANK(Table1[[#This Row],[order_id]]),"",IF(LEFT(Table1[[#This Row],[order_id]],3)="ORD",Table1[[#This Row],[order_id]],"ORD-" &amp; Table1[[#This Row],[order_id]]))</f>
        <v>ORD-1109</v>
      </c>
      <c r="C111" t="s">
        <v>278</v>
      </c>
      <c r="D111" s="1" t="str">
        <f>IFERROR(DATEVALUE(Table1[[#This Row],[order_date]]),"")</f>
        <v/>
      </c>
      <c r="E111" t="s">
        <v>279</v>
      </c>
      <c r="F111" t="str">
        <f>IF(ISBLANK(Table1[[#This Row],[customer_name]]),"Unknown Customer",PROPER(SUBSTITUTE(Table1[[#This Row],[customer_name]],"Cust.","Customer")))</f>
        <v>Customer 109</v>
      </c>
      <c r="G111" t="s">
        <v>73</v>
      </c>
      <c r="H111" t="str">
        <f>IFERROR(_xlfn.XLOOKUP(Table1[[#This Row],[region]],Mappings!$C$3:$C$8,Mappings!$D$3:$D$8,,0,1),"Unknown")</f>
        <v>Europe</v>
      </c>
      <c r="I111" t="s">
        <v>68</v>
      </c>
      <c r="J111" t="str">
        <f>IFERROR(_xlfn.XLOOKUP(Table1[[#This Row],[sales_channel]],Table4[Original],Table4[Clean],,0,1),"Unknown")</f>
        <v>Online</v>
      </c>
      <c r="K111" t="s">
        <v>15</v>
      </c>
      <c r="L111" t="str">
        <f>IFERROR(_xlfn.XLOOKUP(Table1[[#This Row],[product]],Table3[Original],Table3[Product_clean],,0,1),"Unknown")</f>
        <v>Tablet</v>
      </c>
      <c r="M111" s="6">
        <v>1</v>
      </c>
      <c r="N111">
        <f>IF(ISNUMBER(Table1[[#This Row],[quantity]]),Table1[[#This Row],[quantity]],IFERROR(VLOOKUP(Table1[[#This Row],[quantity]],Table5[#All],2,FALSE),"Unknown"))</f>
        <v>1</v>
      </c>
      <c r="O111" t="s">
        <v>280</v>
      </c>
      <c r="P111">
        <f>IFERROR(VALUE(SUBSTITUTE(SUBSTITUTE(SUBSTITUTE(Table1[[#This Row],[revenue]],"EUR",""),"$",""),".",",")),"")</f>
        <v>2618.0500000000002</v>
      </c>
      <c r="R111" t="str">
        <f>IF(OR(Table1[[#This Row],[currency]]="EUR",Table1[[#This Row],[currency]]="€"),"EUR",IF(OR(Table1[[#This Row],[currency]]="USD",Table1[[#This Row],[currency]]="$"),"USD","Unknown"))</f>
        <v>Unknown</v>
      </c>
      <c r="S111" t="s">
        <v>18</v>
      </c>
      <c r="T111" t="str">
        <f>IFERROR(_xlfn.XLOOKUP(Table1[[#This Row],[order_status]],Table8[Original],Table8[Clean],,0,1),"Unknown")</f>
        <v>Pending</v>
      </c>
      <c r="U111">
        <v>2</v>
      </c>
      <c r="V111">
        <f>IF(ISNUMBER(Table1[[#This Row],[delivery_days]]),Table1[[#This Row],[delivery_days]],IFERROR(_xlfn.XLOOKUP(Table1[[#This Row],[delivery_days]],Table57[Original],Table57[Clean],,0,1),"Unknown"))</f>
        <v>2</v>
      </c>
      <c r="W111" t="s">
        <v>24</v>
      </c>
    </row>
    <row r="112" spans="1:23" x14ac:dyDescent="0.3">
      <c r="A112">
        <v>1110</v>
      </c>
      <c r="B112" t="str">
        <f>IF(ISBLANK(Table1[[#This Row],[order_id]]),"",IF(LEFT(Table1[[#This Row],[order_id]],3)="ORD",Table1[[#This Row],[order_id]],"ORD-" &amp; Table1[[#This Row],[order_id]]))</f>
        <v>ORD-1110</v>
      </c>
      <c r="C112" t="s">
        <v>281</v>
      </c>
      <c r="D112" s="1">
        <f>IFERROR(DATEVALUE(Table1[[#This Row],[order_date]]),"")</f>
        <v>45471</v>
      </c>
      <c r="E112" t="s">
        <v>282</v>
      </c>
      <c r="F112" t="str">
        <f>IF(ISBLANK(Table1[[#This Row],[customer_name]]),"Unknown Customer",PROPER(SUBSTITUTE(Table1[[#This Row],[customer_name]],"Cust.","Customer")))</f>
        <v>Customer 110</v>
      </c>
      <c r="G112" t="s">
        <v>26</v>
      </c>
      <c r="H112" t="str">
        <f>IFERROR(_xlfn.XLOOKUP(Table1[[#This Row],[region]],Mappings!$C$3:$C$8,Mappings!$D$3:$D$8,,0,1),"Unknown")</f>
        <v>Asia</v>
      </c>
      <c r="I112" t="s">
        <v>27</v>
      </c>
      <c r="J112" t="str">
        <f>IFERROR(_xlfn.XLOOKUP(Table1[[#This Row],[sales_channel]],Table4[Original],Table4[Clean],,0,1),"Unknown")</f>
        <v>Online</v>
      </c>
      <c r="K112" t="s">
        <v>28</v>
      </c>
      <c r="L112" t="str">
        <f>IFERROR(_xlfn.XLOOKUP(Table1[[#This Row],[product]],Table3[Original],Table3[Product_clean],,0,1),"Unknown")</f>
        <v>Laptop</v>
      </c>
      <c r="M112" s="6"/>
      <c r="N112" t="str">
        <f>IF(ISNUMBER(Table1[[#This Row],[quantity]]),Table1[[#This Row],[quantity]],IFERROR(VLOOKUP(Table1[[#This Row],[quantity]],Table5[#All],2,FALSE),"Unknown"))</f>
        <v>Unknown</v>
      </c>
      <c r="O112" t="s">
        <v>283</v>
      </c>
      <c r="P112">
        <f>IFERROR(VALUE(SUBSTITUTE(SUBSTITUTE(SUBSTITUTE(Table1[[#This Row],[revenue]],"EUR",""),"$",""),".",",")),"")</f>
        <v>2195.77</v>
      </c>
      <c r="Q112" t="s">
        <v>58</v>
      </c>
      <c r="R112" t="str">
        <f>IF(OR(Table1[[#This Row],[currency]]="EUR",Table1[[#This Row],[currency]]="€"),"EUR",IF(OR(Table1[[#This Row],[currency]]="USD",Table1[[#This Row],[currency]]="$"),"USD","Unknown"))</f>
        <v>USD</v>
      </c>
      <c r="T112" t="str">
        <f>IFERROR(_xlfn.XLOOKUP(Table1[[#This Row],[order_status]],Table8[Original],Table8[Clean],,0,1),"Unknown")</f>
        <v>Unknown</v>
      </c>
      <c r="U112">
        <v>1</v>
      </c>
      <c r="V112">
        <f>IF(ISNUMBER(Table1[[#This Row],[delivery_days]]),Table1[[#This Row],[delivery_days]],IFERROR(_xlfn.XLOOKUP(Table1[[#This Row],[delivery_days]],Table57[Original],Table57[Clean],,0,1),"Unknown"))</f>
        <v>1</v>
      </c>
      <c r="W112" t="s">
        <v>37</v>
      </c>
    </row>
    <row r="113" spans="1:23" x14ac:dyDescent="0.3">
      <c r="B113" t="str">
        <f>IF(ISBLANK(Table1[[#This Row],[order_id]]),"",IF(LEFT(Table1[[#This Row],[order_id]],3)="ORD",Table1[[#This Row],[order_id]],"ORD-" &amp; Table1[[#This Row],[order_id]]))</f>
        <v/>
      </c>
      <c r="D113" s="1" t="str">
        <f>IFERROR(DATEVALUE(Table1[[#This Row],[order_date]]),"")</f>
        <v/>
      </c>
      <c r="E113" t="s">
        <v>284</v>
      </c>
      <c r="F113" t="str">
        <f>IF(ISBLANK(Table1[[#This Row],[customer_name]]),"Unknown Customer",PROPER(SUBSTITUTE(Table1[[#This Row],[customer_name]],"Cust.","Customer")))</f>
        <v>Customer 111</v>
      </c>
      <c r="H113" t="str">
        <f>IFERROR(_xlfn.XLOOKUP(Table1[[#This Row],[region]],Mappings!$C$3:$C$8,Mappings!$D$3:$D$8,,0,1),"Unknown")</f>
        <v>Unknown</v>
      </c>
      <c r="J113" t="str">
        <f>IFERROR(_xlfn.XLOOKUP(Table1[[#This Row],[sales_channel]],Table4[Original],Table4[Clean],,0,1),"Unknown")</f>
        <v>Unknown</v>
      </c>
      <c r="K113" t="s">
        <v>102</v>
      </c>
      <c r="L113" t="str">
        <f>IFERROR(_xlfn.XLOOKUP(Table1[[#This Row],[product]],Table3[Original],Table3[Product_clean],,0,1),"Unknown")</f>
        <v>Phone</v>
      </c>
      <c r="M113" s="6">
        <v>2</v>
      </c>
      <c r="N113">
        <f>IF(ISNUMBER(Table1[[#This Row],[quantity]]),Table1[[#This Row],[quantity]],IFERROR(VLOOKUP(Table1[[#This Row],[quantity]],Table5[#All],2,FALSE),"Unknown"))</f>
        <v>2</v>
      </c>
      <c r="P113" t="str">
        <f>IFERROR(VALUE(SUBSTITUTE(SUBSTITUTE(SUBSTITUTE(Table1[[#This Row],[revenue]],"EUR",""),"$",""),".",",")),"")</f>
        <v/>
      </c>
      <c r="Q113" t="s">
        <v>22</v>
      </c>
      <c r="R113" t="str">
        <f>IF(OR(Table1[[#This Row],[currency]]="EUR",Table1[[#This Row],[currency]]="€"),"EUR",IF(OR(Table1[[#This Row],[currency]]="USD",Table1[[#This Row],[currency]]="$"),"USD","Unknown"))</f>
        <v>USD</v>
      </c>
      <c r="S113" t="s">
        <v>30</v>
      </c>
      <c r="T113" t="str">
        <f>IFERROR(_xlfn.XLOOKUP(Table1[[#This Row],[order_status]],Table8[Original],Table8[Clean],,0,1),"Unknown")</f>
        <v>Delivered</v>
      </c>
      <c r="U113">
        <v>5</v>
      </c>
      <c r="V113">
        <f>IF(ISNUMBER(Table1[[#This Row],[delivery_days]]),Table1[[#This Row],[delivery_days]],IFERROR(_xlfn.XLOOKUP(Table1[[#This Row],[delivery_days]],Table57[Original],Table57[Clean],,0,1),"Unknown"))</f>
        <v>5</v>
      </c>
    </row>
    <row r="114" spans="1:23" x14ac:dyDescent="0.3">
      <c r="B114" t="str">
        <f>IF(ISBLANK(Table1[[#This Row],[order_id]]),"",IF(LEFT(Table1[[#This Row],[order_id]],3)="ORD",Table1[[#This Row],[order_id]],"ORD-" &amp; Table1[[#This Row],[order_id]]))</f>
        <v/>
      </c>
      <c r="C114" t="s">
        <v>285</v>
      </c>
      <c r="D114" s="1">
        <f>IFERROR(DATEVALUE(Table1[[#This Row],[order_date]]),"")</f>
        <v>45615</v>
      </c>
      <c r="E114" t="s">
        <v>286</v>
      </c>
      <c r="F114" t="str">
        <f>IF(ISBLANK(Table1[[#This Row],[customer_name]]),"Unknown Customer",PROPER(SUBSTITUTE(Table1[[#This Row],[customer_name]],"Cust.","Customer")))</f>
        <v>Customer 112</v>
      </c>
      <c r="G114" t="s">
        <v>45</v>
      </c>
      <c r="H114" t="str">
        <f>IFERROR(_xlfn.XLOOKUP(Table1[[#This Row],[region]],Mappings!$C$3:$C$8,Mappings!$D$3:$D$8,,0,1),"Unknown")</f>
        <v>USA</v>
      </c>
      <c r="I114" t="s">
        <v>14</v>
      </c>
      <c r="J114" t="str">
        <f>IFERROR(_xlfn.XLOOKUP(Table1[[#This Row],[sales_channel]],Table4[Original],Table4[Clean],,0,1),"Unknown")</f>
        <v>Online</v>
      </c>
      <c r="K114" t="s">
        <v>102</v>
      </c>
      <c r="L114" t="str">
        <f>IFERROR(_xlfn.XLOOKUP(Table1[[#This Row],[product]],Table3[Original],Table3[Product_clean],,0,1),"Unknown")</f>
        <v>Phone</v>
      </c>
      <c r="M114" s="6" t="s">
        <v>83</v>
      </c>
      <c r="N114">
        <f>IF(ISNUMBER(Table1[[#This Row],[quantity]]),Table1[[#This Row],[quantity]],IFERROR(VLOOKUP(Table1[[#This Row],[quantity]],Table5[#All],2,FALSE),"Unknown"))</f>
        <v>2</v>
      </c>
      <c r="O114" t="s">
        <v>287</v>
      </c>
      <c r="P114">
        <f>IFERROR(VALUE(SUBSTITUTE(SUBSTITUTE(SUBSTITUTE(Table1[[#This Row],[revenue]],"EUR",""),"$",""),".",",")),"")</f>
        <v>943.32</v>
      </c>
      <c r="Q114" t="s">
        <v>22</v>
      </c>
      <c r="R114" t="str">
        <f>IF(OR(Table1[[#This Row],[currency]]="EUR",Table1[[#This Row],[currency]]="€"),"EUR",IF(OR(Table1[[#This Row],[currency]]="USD",Table1[[#This Row],[currency]]="$"),"USD","Unknown"))</f>
        <v>USD</v>
      </c>
      <c r="S114" t="s">
        <v>30</v>
      </c>
      <c r="T114" t="str">
        <f>IFERROR(_xlfn.XLOOKUP(Table1[[#This Row],[order_status]],Table8[Original],Table8[Clean],,0,1),"Unknown")</f>
        <v>Delivered</v>
      </c>
      <c r="U114">
        <v>1</v>
      </c>
      <c r="V114">
        <f>IF(ISNUMBER(Table1[[#This Row],[delivery_days]]),Table1[[#This Row],[delivery_days]],IFERROR(_xlfn.XLOOKUP(Table1[[#This Row],[delivery_days]],Table57[Original],Table57[Clean],,0,1),"Unknown"))</f>
        <v>1</v>
      </c>
      <c r="W114" t="s">
        <v>24</v>
      </c>
    </row>
    <row r="115" spans="1:23" x14ac:dyDescent="0.3">
      <c r="B115" t="str">
        <f>IF(ISBLANK(Table1[[#This Row],[order_id]]),"",IF(LEFT(Table1[[#This Row],[order_id]],3)="ORD",Table1[[#This Row],[order_id]],"ORD-" &amp; Table1[[#This Row],[order_id]]))</f>
        <v/>
      </c>
      <c r="D115" s="1" t="str">
        <f>IFERROR(DATEVALUE(Table1[[#This Row],[order_date]]),"")</f>
        <v/>
      </c>
      <c r="F115" t="str">
        <f>IF(ISBLANK(Table1[[#This Row],[customer_name]]),"Unknown Customer",PROPER(SUBSTITUTE(Table1[[#This Row],[customer_name]],"Cust.","Customer")))</f>
        <v>Unknown Customer</v>
      </c>
      <c r="G115" t="s">
        <v>45</v>
      </c>
      <c r="H115" t="str">
        <f>IFERROR(_xlfn.XLOOKUP(Table1[[#This Row],[region]],Mappings!$C$3:$C$8,Mappings!$D$3:$D$8,,0,1),"Unknown")</f>
        <v>USA</v>
      </c>
      <c r="I115" t="s">
        <v>68</v>
      </c>
      <c r="J115" t="str">
        <f>IFERROR(_xlfn.XLOOKUP(Table1[[#This Row],[sales_channel]],Table4[Original],Table4[Clean],,0,1),"Unknown")</f>
        <v>Online</v>
      </c>
      <c r="L115" t="str">
        <f>IFERROR(_xlfn.XLOOKUP(Table1[[#This Row],[product]],Table3[Original],Table3[Product_clean],,0,1),"Unknown")</f>
        <v>Unknown</v>
      </c>
      <c r="M115" s="6">
        <v>1</v>
      </c>
      <c r="N115">
        <f>IF(ISNUMBER(Table1[[#This Row],[quantity]]),Table1[[#This Row],[quantity]],IFERROR(VLOOKUP(Table1[[#This Row],[quantity]],Table5[#All],2,FALSE),"Unknown"))</f>
        <v>1</v>
      </c>
      <c r="O115">
        <v>276.36</v>
      </c>
      <c r="P115">
        <f>IFERROR(VALUE(SUBSTITUTE(SUBSTITUTE(SUBSTITUTE(Table1[[#This Row],[revenue]],"EUR",""),"$",""),".",",")),"")</f>
        <v>276.36</v>
      </c>
      <c r="Q115" t="s">
        <v>22</v>
      </c>
      <c r="R115" t="str">
        <f>IF(OR(Table1[[#This Row],[currency]]="EUR",Table1[[#This Row],[currency]]="€"),"EUR",IF(OR(Table1[[#This Row],[currency]]="USD",Table1[[#This Row],[currency]]="$"),"USD","Unknown"))</f>
        <v>USD</v>
      </c>
      <c r="S115" t="s">
        <v>18</v>
      </c>
      <c r="T115" t="str">
        <f>IFERROR(_xlfn.XLOOKUP(Table1[[#This Row],[order_status]],Table8[Original],Table8[Clean],,0,1),"Unknown")</f>
        <v>Pending</v>
      </c>
      <c r="V115" t="str">
        <f>IF(ISNUMBER(Table1[[#This Row],[delivery_days]]),Table1[[#This Row],[delivery_days]],IFERROR(_xlfn.XLOOKUP(Table1[[#This Row],[delivery_days]],Table57[Original],Table57[Clean],,0,1),"Unknown"))</f>
        <v>Unknown</v>
      </c>
      <c r="W115" t="s">
        <v>37</v>
      </c>
    </row>
    <row r="116" spans="1:23" x14ac:dyDescent="0.3">
      <c r="A116">
        <v>1114</v>
      </c>
      <c r="B116" t="str">
        <f>IF(ISBLANK(Table1[[#This Row],[order_id]]),"",IF(LEFT(Table1[[#This Row],[order_id]],3)="ORD",Table1[[#This Row],[order_id]],"ORD-" &amp; Table1[[#This Row],[order_id]]))</f>
        <v>ORD-1114</v>
      </c>
      <c r="D116" s="1" t="str">
        <f>IFERROR(DATEVALUE(Table1[[#This Row],[order_date]]),"")</f>
        <v/>
      </c>
      <c r="E116" t="s">
        <v>288</v>
      </c>
      <c r="F116" t="str">
        <f>IF(ISBLANK(Table1[[#This Row],[customer_name]]),"Unknown Customer",PROPER(SUBSTITUTE(Table1[[#This Row],[customer_name]],"Cust.","Customer")))</f>
        <v>Customer 114</v>
      </c>
      <c r="H116" t="str">
        <f>IFERROR(_xlfn.XLOOKUP(Table1[[#This Row],[region]],Mappings!$C$3:$C$8,Mappings!$D$3:$D$8,,0,1),"Unknown")</f>
        <v>Unknown</v>
      </c>
      <c r="I116" t="s">
        <v>50</v>
      </c>
      <c r="J116" t="str">
        <f>IFERROR(_xlfn.XLOOKUP(Table1[[#This Row],[sales_channel]],Table4[Original],Table4[Clean],,0,1),"Unknown")</f>
        <v>Mobile</v>
      </c>
      <c r="K116" t="s">
        <v>15</v>
      </c>
      <c r="L116" t="str">
        <f>IFERROR(_xlfn.XLOOKUP(Table1[[#This Row],[product]],Table3[Original],Table3[Product_clean],,0,1),"Unknown")</f>
        <v>Tablet</v>
      </c>
      <c r="M116" s="6">
        <v>1</v>
      </c>
      <c r="N116">
        <f>IF(ISNUMBER(Table1[[#This Row],[quantity]]),Table1[[#This Row],[quantity]],IFERROR(VLOOKUP(Table1[[#This Row],[quantity]],Table5[#All],2,FALSE),"Unknown"))</f>
        <v>1</v>
      </c>
      <c r="O116" t="s">
        <v>289</v>
      </c>
      <c r="P116">
        <f>IFERROR(VALUE(SUBSTITUTE(SUBSTITUTE(SUBSTITUTE(Table1[[#This Row],[revenue]],"EUR",""),"$",""),".",",")),"")</f>
        <v>1834.77</v>
      </c>
      <c r="R116" t="str">
        <f>IF(OR(Table1[[#This Row],[currency]]="EUR",Table1[[#This Row],[currency]]="€"),"EUR",IF(OR(Table1[[#This Row],[currency]]="USD",Table1[[#This Row],[currency]]="$"),"USD","Unknown"))</f>
        <v>Unknown</v>
      </c>
      <c r="T116" t="str">
        <f>IFERROR(_xlfn.XLOOKUP(Table1[[#This Row],[order_status]],Table8[Original],Table8[Clean],,0,1),"Unknown")</f>
        <v>Unknown</v>
      </c>
      <c r="U116">
        <v>2</v>
      </c>
      <c r="V116">
        <f>IF(ISNUMBER(Table1[[#This Row],[delivery_days]]),Table1[[#This Row],[delivery_days]],IFERROR(_xlfn.XLOOKUP(Table1[[#This Row],[delivery_days]],Table57[Original],Table57[Clean],,0,1),"Unknown"))</f>
        <v>2</v>
      </c>
    </row>
    <row r="117" spans="1:23" x14ac:dyDescent="0.3">
      <c r="B117" t="str">
        <f>IF(ISBLANK(Table1[[#This Row],[order_id]]),"",IF(LEFT(Table1[[#This Row],[order_id]],3)="ORD",Table1[[#This Row],[order_id]],"ORD-" &amp; Table1[[#This Row],[order_id]]))</f>
        <v/>
      </c>
      <c r="C117" t="s">
        <v>71</v>
      </c>
      <c r="D117" s="1">
        <f>IFERROR(DATEVALUE(Table1[[#This Row],[order_date]]),"")</f>
        <v>45418</v>
      </c>
      <c r="E117" t="s">
        <v>290</v>
      </c>
      <c r="F117" t="str">
        <f>IF(ISBLANK(Table1[[#This Row],[customer_name]]),"Unknown Customer",PROPER(SUBSTITUTE(Table1[[#This Row],[customer_name]],"Cust.","Customer")))</f>
        <v>Customer 115</v>
      </c>
      <c r="G117" t="s">
        <v>26</v>
      </c>
      <c r="H117" t="str">
        <f>IFERROR(_xlfn.XLOOKUP(Table1[[#This Row],[region]],Mappings!$C$3:$C$8,Mappings!$D$3:$D$8,,0,1),"Unknown")</f>
        <v>Asia</v>
      </c>
      <c r="I117" t="s">
        <v>50</v>
      </c>
      <c r="J117" t="str">
        <f>IFERROR(_xlfn.XLOOKUP(Table1[[#This Row],[sales_channel]],Table4[Original],Table4[Clean],,0,1),"Unknown")</f>
        <v>Mobile</v>
      </c>
      <c r="K117" t="s">
        <v>41</v>
      </c>
      <c r="L117" t="str">
        <f>IFERROR(_xlfn.XLOOKUP(Table1[[#This Row],[product]],Table3[Original],Table3[Product_clean],,0,1),"Unknown")</f>
        <v>Phone</v>
      </c>
      <c r="M117" s="6" t="s">
        <v>83</v>
      </c>
      <c r="N117">
        <f>IF(ISNUMBER(Table1[[#This Row],[quantity]]),Table1[[#This Row],[quantity]],IFERROR(VLOOKUP(Table1[[#This Row],[quantity]],Table5[#All],2,FALSE),"Unknown"))</f>
        <v>2</v>
      </c>
      <c r="P117" t="str">
        <f>IFERROR(VALUE(SUBSTITUTE(SUBSTITUTE(SUBSTITUTE(Table1[[#This Row],[revenue]],"EUR",""),"$",""),".",",")),"")</f>
        <v/>
      </c>
      <c r="Q117" t="s">
        <v>55</v>
      </c>
      <c r="R117" t="str">
        <f>IF(OR(Table1[[#This Row],[currency]]="EUR",Table1[[#This Row],[currency]]="€"),"EUR",IF(OR(Table1[[#This Row],[currency]]="USD",Table1[[#This Row],[currency]]="$"),"USD","Unknown"))</f>
        <v>EUR</v>
      </c>
      <c r="T117" t="str">
        <f>IFERROR(_xlfn.XLOOKUP(Table1[[#This Row],[order_status]],Table8[Original],Table8[Clean],,0,1),"Unknown")</f>
        <v>Unknown</v>
      </c>
      <c r="U117" t="s">
        <v>36</v>
      </c>
      <c r="V117">
        <f>IF(ISNUMBER(Table1[[#This Row],[delivery_days]]),Table1[[#This Row],[delivery_days]],IFERROR(_xlfn.XLOOKUP(Table1[[#This Row],[delivery_days]],Table57[Original],Table57[Clean],,0,1),"Unknown"))</f>
        <v>5</v>
      </c>
    </row>
    <row r="118" spans="1:23" x14ac:dyDescent="0.3">
      <c r="A118">
        <v>1116</v>
      </c>
      <c r="B118" t="str">
        <f>IF(ISBLANK(Table1[[#This Row],[order_id]]),"",IF(LEFT(Table1[[#This Row],[order_id]],3)="ORD",Table1[[#This Row],[order_id]],"ORD-" &amp; Table1[[#This Row],[order_id]]))</f>
        <v>ORD-1116</v>
      </c>
      <c r="C118" t="s">
        <v>291</v>
      </c>
      <c r="D118" s="1">
        <f>IFERROR(DATEVALUE(Table1[[#This Row],[order_date]]),"")</f>
        <v>45871</v>
      </c>
      <c r="E118" t="s">
        <v>292</v>
      </c>
      <c r="F118" t="str">
        <f>IF(ISBLANK(Table1[[#This Row],[customer_name]]),"Unknown Customer",PROPER(SUBSTITUTE(Table1[[#This Row],[customer_name]],"Cust.","Customer")))</f>
        <v>Customer 116</v>
      </c>
      <c r="G118" t="s">
        <v>45</v>
      </c>
      <c r="H118" t="str">
        <f>IFERROR(_xlfn.XLOOKUP(Table1[[#This Row],[region]],Mappings!$C$3:$C$8,Mappings!$D$3:$D$8,,0,1),"Unknown")</f>
        <v>USA</v>
      </c>
      <c r="J118" t="str">
        <f>IFERROR(_xlfn.XLOOKUP(Table1[[#This Row],[sales_channel]],Table4[Original],Table4[Clean],,0,1),"Unknown")</f>
        <v>Unknown</v>
      </c>
      <c r="K118" t="s">
        <v>41</v>
      </c>
      <c r="L118" t="str">
        <f>IFERROR(_xlfn.XLOOKUP(Table1[[#This Row],[product]],Table3[Original],Table3[Product_clean],,0,1),"Unknown")</f>
        <v>Phone</v>
      </c>
      <c r="M118" s="6">
        <v>3</v>
      </c>
      <c r="N118">
        <f>IF(ISNUMBER(Table1[[#This Row],[quantity]]),Table1[[#This Row],[quantity]],IFERROR(VLOOKUP(Table1[[#This Row],[quantity]],Table5[#All],2,FALSE),"Unknown"))</f>
        <v>3</v>
      </c>
      <c r="O118" t="s">
        <v>293</v>
      </c>
      <c r="P118">
        <f>IFERROR(VALUE(SUBSTITUTE(SUBSTITUTE(SUBSTITUTE(Table1[[#This Row],[revenue]],"EUR",""),"$",""),".",",")),"")</f>
        <v>1911.12</v>
      </c>
      <c r="Q118" t="s">
        <v>55</v>
      </c>
      <c r="R118" t="str">
        <f>IF(OR(Table1[[#This Row],[currency]]="EUR",Table1[[#This Row],[currency]]="€"),"EUR",IF(OR(Table1[[#This Row],[currency]]="USD",Table1[[#This Row],[currency]]="$"),"USD","Unknown"))</f>
        <v>EUR</v>
      </c>
      <c r="T118" t="str">
        <f>IFERROR(_xlfn.XLOOKUP(Table1[[#This Row],[order_status]],Table8[Original],Table8[Clean],,0,1),"Unknown")</f>
        <v>Unknown</v>
      </c>
      <c r="V118" t="str">
        <f>IF(ISNUMBER(Table1[[#This Row],[delivery_days]]),Table1[[#This Row],[delivery_days]],IFERROR(_xlfn.XLOOKUP(Table1[[#This Row],[delivery_days]],Table57[Original],Table57[Clean],,0,1),"Unknown"))</f>
        <v>Unknown</v>
      </c>
      <c r="W118" t="s">
        <v>37</v>
      </c>
    </row>
    <row r="119" spans="1:23" x14ac:dyDescent="0.3">
      <c r="A119" t="s">
        <v>294</v>
      </c>
      <c r="B119" t="str">
        <f>IF(ISBLANK(Table1[[#This Row],[order_id]]),"",IF(LEFT(Table1[[#This Row],[order_id]],3)="ORD",Table1[[#This Row],[order_id]],"ORD-" &amp; Table1[[#This Row],[order_id]]))</f>
        <v>ORD-1117</v>
      </c>
      <c r="C119" t="s">
        <v>295</v>
      </c>
      <c r="D119" s="1" t="str">
        <f>IFERROR(DATEVALUE(Table1[[#This Row],[order_date]]),"")</f>
        <v/>
      </c>
      <c r="F119" t="str">
        <f>IF(ISBLANK(Table1[[#This Row],[customer_name]]),"Unknown Customer",PROPER(SUBSTITUTE(Table1[[#This Row],[customer_name]],"Cust.","Customer")))</f>
        <v>Unknown Customer</v>
      </c>
      <c r="G119" t="s">
        <v>54</v>
      </c>
      <c r="H119" t="str">
        <f>IFERROR(_xlfn.XLOOKUP(Table1[[#This Row],[region]],Mappings!$C$3:$C$8,Mappings!$D$3:$D$8,,0,1),"Unknown")</f>
        <v>USA</v>
      </c>
      <c r="I119" t="s">
        <v>68</v>
      </c>
      <c r="J119" t="str">
        <f>IFERROR(_xlfn.XLOOKUP(Table1[[#This Row],[sales_channel]],Table4[Original],Table4[Clean],,0,1),"Unknown")</f>
        <v>Online</v>
      </c>
      <c r="K119" t="s">
        <v>15</v>
      </c>
      <c r="L119" t="str">
        <f>IFERROR(_xlfn.XLOOKUP(Table1[[#This Row],[product]],Table3[Original],Table3[Product_clean],,0,1),"Unknown")</f>
        <v>Tablet</v>
      </c>
      <c r="M119" s="6">
        <v>1</v>
      </c>
      <c r="N119">
        <f>IF(ISNUMBER(Table1[[#This Row],[quantity]]),Table1[[#This Row],[quantity]],IFERROR(VLOOKUP(Table1[[#This Row],[quantity]],Table5[#All],2,FALSE),"Unknown"))</f>
        <v>1</v>
      </c>
      <c r="O119" t="s">
        <v>296</v>
      </c>
      <c r="P119">
        <f>IFERROR(VALUE(SUBSTITUTE(SUBSTITUTE(SUBSTITUTE(Table1[[#This Row],[revenue]],"EUR",""),"$",""),".",",")),"")</f>
        <v>290.43</v>
      </c>
      <c r="Q119" t="s">
        <v>55</v>
      </c>
      <c r="R119" t="str">
        <f>IF(OR(Table1[[#This Row],[currency]]="EUR",Table1[[#This Row],[currency]]="€"),"EUR",IF(OR(Table1[[#This Row],[currency]]="USD",Table1[[#This Row],[currency]]="$"),"USD","Unknown"))</f>
        <v>EUR</v>
      </c>
      <c r="S119" t="s">
        <v>18</v>
      </c>
      <c r="T119" t="str">
        <f>IFERROR(_xlfn.XLOOKUP(Table1[[#This Row],[order_status]],Table8[Original],Table8[Clean],,0,1),"Unknown")</f>
        <v>Pending</v>
      </c>
      <c r="U119">
        <v>5</v>
      </c>
      <c r="V119">
        <f>IF(ISNUMBER(Table1[[#This Row],[delivery_days]]),Table1[[#This Row],[delivery_days]],IFERROR(_xlfn.XLOOKUP(Table1[[#This Row],[delivery_days]],Table57[Original],Table57[Clean],,0,1),"Unknown"))</f>
        <v>5</v>
      </c>
      <c r="W119" t="s">
        <v>24</v>
      </c>
    </row>
    <row r="120" spans="1:23" x14ac:dyDescent="0.3">
      <c r="B120" t="str">
        <f>IF(ISBLANK(Table1[[#This Row],[order_id]]),"",IF(LEFT(Table1[[#This Row],[order_id]],3)="ORD",Table1[[#This Row],[order_id]],"ORD-" &amp; Table1[[#This Row],[order_id]]))</f>
        <v/>
      </c>
      <c r="D120" s="1" t="str">
        <f>IFERROR(DATEVALUE(Table1[[#This Row],[order_date]]),"")</f>
        <v/>
      </c>
      <c r="E120" t="s">
        <v>297</v>
      </c>
      <c r="F120" t="str">
        <f>IF(ISBLANK(Table1[[#This Row],[customer_name]]),"Unknown Customer",PROPER(SUBSTITUTE(Table1[[#This Row],[customer_name]],"Cust.","Customer")))</f>
        <v>Customer 118</v>
      </c>
      <c r="G120" t="s">
        <v>73</v>
      </c>
      <c r="H120" t="str">
        <f>IFERROR(_xlfn.XLOOKUP(Table1[[#This Row],[region]],Mappings!$C$3:$C$8,Mappings!$D$3:$D$8,,0,1),"Unknown")</f>
        <v>Europe</v>
      </c>
      <c r="I120" t="s">
        <v>50</v>
      </c>
      <c r="J120" t="str">
        <f>IFERROR(_xlfn.XLOOKUP(Table1[[#This Row],[sales_channel]],Table4[Original],Table4[Clean],,0,1),"Unknown")</f>
        <v>Mobile</v>
      </c>
      <c r="K120" t="s">
        <v>102</v>
      </c>
      <c r="L120" t="str">
        <f>IFERROR(_xlfn.XLOOKUP(Table1[[#This Row],[product]],Table3[Original],Table3[Product_clean],,0,1),"Unknown")</f>
        <v>Phone</v>
      </c>
      <c r="M120" s="6">
        <v>2</v>
      </c>
      <c r="N120">
        <f>IF(ISNUMBER(Table1[[#This Row],[quantity]]),Table1[[#This Row],[quantity]],IFERROR(VLOOKUP(Table1[[#This Row],[quantity]],Table5[#All],2,FALSE),"Unknown"))</f>
        <v>2</v>
      </c>
      <c r="O120">
        <v>426.99</v>
      </c>
      <c r="P120">
        <f>IFERROR(VALUE(SUBSTITUTE(SUBSTITUTE(SUBSTITUTE(Table1[[#This Row],[revenue]],"EUR",""),"$",""),".",",")),"")</f>
        <v>426.99</v>
      </c>
      <c r="Q120" t="s">
        <v>58</v>
      </c>
      <c r="R120" t="str">
        <f>IF(OR(Table1[[#This Row],[currency]]="EUR",Table1[[#This Row],[currency]]="€"),"EUR",IF(OR(Table1[[#This Row],[currency]]="USD",Table1[[#This Row],[currency]]="$"),"USD","Unknown"))</f>
        <v>USD</v>
      </c>
      <c r="S120" t="s">
        <v>35</v>
      </c>
      <c r="T120" t="str">
        <f>IFERROR(_xlfn.XLOOKUP(Table1[[#This Row],[order_status]],Table8[Original],Table8[Clean],,0,1),"Unknown")</f>
        <v>Returned</v>
      </c>
      <c r="U120">
        <v>5</v>
      </c>
      <c r="V120">
        <f>IF(ISNUMBER(Table1[[#This Row],[delivery_days]]),Table1[[#This Row],[delivery_days]],IFERROR(_xlfn.XLOOKUP(Table1[[#This Row],[delivery_days]],Table57[Original],Table57[Clean],,0,1),"Unknown"))</f>
        <v>5</v>
      </c>
      <c r="W120" t="s">
        <v>37</v>
      </c>
    </row>
    <row r="121" spans="1:23" x14ac:dyDescent="0.3">
      <c r="A121">
        <v>1119</v>
      </c>
      <c r="B121" t="str">
        <f>IF(ISBLANK(Table1[[#This Row],[order_id]]),"",IF(LEFT(Table1[[#This Row],[order_id]],3)="ORD",Table1[[#This Row],[order_id]],"ORD-" &amp; Table1[[#This Row],[order_id]]))</f>
        <v>ORD-1119</v>
      </c>
      <c r="C121" t="s">
        <v>298</v>
      </c>
      <c r="D121" s="1" t="str">
        <f>IFERROR(DATEVALUE(Table1[[#This Row],[order_date]]),"")</f>
        <v/>
      </c>
      <c r="E121" t="s">
        <v>299</v>
      </c>
      <c r="F121" t="str">
        <f>IF(ISBLANK(Table1[[#This Row],[customer_name]]),"Unknown Customer",PROPER(SUBSTITUTE(Table1[[#This Row],[customer_name]],"Cust.","Customer")))</f>
        <v>Customer 119</v>
      </c>
      <c r="G121" t="s">
        <v>45</v>
      </c>
      <c r="H121" t="str">
        <f>IFERROR(_xlfn.XLOOKUP(Table1[[#This Row],[region]],Mappings!$C$3:$C$8,Mappings!$D$3:$D$8,,0,1),"Unknown")</f>
        <v>USA</v>
      </c>
      <c r="I121" t="s">
        <v>68</v>
      </c>
      <c r="J121" t="str">
        <f>IFERROR(_xlfn.XLOOKUP(Table1[[#This Row],[sales_channel]],Table4[Original],Table4[Clean],,0,1),"Unknown")</f>
        <v>Online</v>
      </c>
      <c r="L121" t="str">
        <f>IFERROR(_xlfn.XLOOKUP(Table1[[#This Row],[product]],Table3[Original],Table3[Product_clean],,0,1),"Unknown")</f>
        <v>Unknown</v>
      </c>
      <c r="M121" s="6"/>
      <c r="N121" t="str">
        <f>IF(ISNUMBER(Table1[[#This Row],[quantity]]),Table1[[#This Row],[quantity]],IFERROR(VLOOKUP(Table1[[#This Row],[quantity]],Table5[#All],2,FALSE),"Unknown"))</f>
        <v>Unknown</v>
      </c>
      <c r="O121" t="s">
        <v>300</v>
      </c>
      <c r="P121">
        <f>IFERROR(VALUE(SUBSTITUTE(SUBSTITUTE(SUBSTITUTE(Table1[[#This Row],[revenue]],"EUR",""),"$",""),".",",")),"")</f>
        <v>2999.93</v>
      </c>
      <c r="Q121" t="s">
        <v>17</v>
      </c>
      <c r="R121" t="str">
        <f>IF(OR(Table1[[#This Row],[currency]]="EUR",Table1[[#This Row],[currency]]="€"),"EUR",IF(OR(Table1[[#This Row],[currency]]="USD",Table1[[#This Row],[currency]]="$"),"USD","Unknown"))</f>
        <v>EUR</v>
      </c>
      <c r="T121" t="str">
        <f>IFERROR(_xlfn.XLOOKUP(Table1[[#This Row],[order_status]],Table8[Original],Table8[Clean],,0,1),"Unknown")</f>
        <v>Unknown</v>
      </c>
      <c r="U121">
        <v>3</v>
      </c>
      <c r="V121">
        <f>IF(ISNUMBER(Table1[[#This Row],[delivery_days]]),Table1[[#This Row],[delivery_days]],IFERROR(_xlfn.XLOOKUP(Table1[[#This Row],[delivery_days]],Table57[Original],Table57[Clean],,0,1),"Unknown"))</f>
        <v>3</v>
      </c>
      <c r="W121" t="s">
        <v>37</v>
      </c>
    </row>
    <row r="122" spans="1:23" x14ac:dyDescent="0.3">
      <c r="A122">
        <v>1120</v>
      </c>
      <c r="B122" t="str">
        <f>IF(ISBLANK(Table1[[#This Row],[order_id]]),"",IF(LEFT(Table1[[#This Row],[order_id]],3)="ORD",Table1[[#This Row],[order_id]],"ORD-" &amp; Table1[[#This Row],[order_id]]))</f>
        <v>ORD-1120</v>
      </c>
      <c r="C122" t="s">
        <v>301</v>
      </c>
      <c r="D122" s="1">
        <f>IFERROR(DATEVALUE(Table1[[#This Row],[order_date]]),"")</f>
        <v>45597</v>
      </c>
      <c r="F122" t="str">
        <f>IF(ISBLANK(Table1[[#This Row],[customer_name]]),"Unknown Customer",PROPER(SUBSTITUTE(Table1[[#This Row],[customer_name]],"Cust.","Customer")))</f>
        <v>Unknown Customer</v>
      </c>
      <c r="G122" t="s">
        <v>73</v>
      </c>
      <c r="H122" t="str">
        <f>IFERROR(_xlfn.XLOOKUP(Table1[[#This Row],[region]],Mappings!$C$3:$C$8,Mappings!$D$3:$D$8,,0,1),"Unknown")</f>
        <v>Europe</v>
      </c>
      <c r="I122" t="s">
        <v>78</v>
      </c>
      <c r="J122" t="str">
        <f>IFERROR(_xlfn.XLOOKUP(Table1[[#This Row],[sales_channel]],Table4[Original],Table4[Clean],,0,1),"Unknown")</f>
        <v>Mobile</v>
      </c>
      <c r="K122" t="s">
        <v>102</v>
      </c>
      <c r="L122" t="str">
        <f>IFERROR(_xlfn.XLOOKUP(Table1[[#This Row],[product]],Table3[Original],Table3[Product_clean],,0,1),"Unknown")</f>
        <v>Phone</v>
      </c>
      <c r="M122" s="6">
        <v>2</v>
      </c>
      <c r="N122">
        <f>IF(ISNUMBER(Table1[[#This Row],[quantity]]),Table1[[#This Row],[quantity]],IFERROR(VLOOKUP(Table1[[#This Row],[quantity]],Table5[#All],2,FALSE),"Unknown"))</f>
        <v>2</v>
      </c>
      <c r="O122" t="s">
        <v>302</v>
      </c>
      <c r="P122">
        <f>IFERROR(VALUE(SUBSTITUTE(SUBSTITUTE(SUBSTITUTE(Table1[[#This Row],[revenue]],"EUR",""),"$",""),".",",")),"")</f>
        <v>1161.32</v>
      </c>
      <c r="Q122" t="s">
        <v>22</v>
      </c>
      <c r="R122" t="str">
        <f>IF(OR(Table1[[#This Row],[currency]]="EUR",Table1[[#This Row],[currency]]="€"),"EUR",IF(OR(Table1[[#This Row],[currency]]="USD",Table1[[#This Row],[currency]]="$"),"USD","Unknown"))</f>
        <v>USD</v>
      </c>
      <c r="S122" t="s">
        <v>18</v>
      </c>
      <c r="T122" t="str">
        <f>IFERROR(_xlfn.XLOOKUP(Table1[[#This Row],[order_status]],Table8[Original],Table8[Clean],,0,1),"Unknown")</f>
        <v>Pending</v>
      </c>
      <c r="U122">
        <v>3</v>
      </c>
      <c r="V122">
        <f>IF(ISNUMBER(Table1[[#This Row],[delivery_days]]),Table1[[#This Row],[delivery_days]],IFERROR(_xlfn.XLOOKUP(Table1[[#This Row],[delivery_days]],Table57[Original],Table57[Clean],,0,1),"Unknown"))</f>
        <v>3</v>
      </c>
    </row>
    <row r="123" spans="1:23" x14ac:dyDescent="0.3">
      <c r="A123" t="s">
        <v>303</v>
      </c>
      <c r="B123" t="str">
        <f>IF(ISBLANK(Table1[[#This Row],[order_id]]),"",IF(LEFT(Table1[[#This Row],[order_id]],3)="ORD",Table1[[#This Row],[order_id]],"ORD-" &amp; Table1[[#This Row],[order_id]]))</f>
        <v>ORD-1121</v>
      </c>
      <c r="C123" t="s">
        <v>304</v>
      </c>
      <c r="D123" s="1">
        <f>IFERROR(DATEVALUE(Table1[[#This Row],[order_date]]),"")</f>
        <v>45411</v>
      </c>
      <c r="E123" t="s">
        <v>305</v>
      </c>
      <c r="F123" t="str">
        <f>IF(ISBLANK(Table1[[#This Row],[customer_name]]),"Unknown Customer",PROPER(SUBSTITUTE(Table1[[#This Row],[customer_name]],"Cust.","Customer")))</f>
        <v>Customer 121</v>
      </c>
      <c r="H123" t="str">
        <f>IFERROR(_xlfn.XLOOKUP(Table1[[#This Row],[region]],Mappings!$C$3:$C$8,Mappings!$D$3:$D$8,,0,1),"Unknown")</f>
        <v>Unknown</v>
      </c>
      <c r="I123" t="s">
        <v>68</v>
      </c>
      <c r="J123" t="str">
        <f>IFERROR(_xlfn.XLOOKUP(Table1[[#This Row],[sales_channel]],Table4[Original],Table4[Clean],,0,1),"Unknown")</f>
        <v>Online</v>
      </c>
      <c r="K123" t="s">
        <v>41</v>
      </c>
      <c r="L123" t="str">
        <f>IFERROR(_xlfn.XLOOKUP(Table1[[#This Row],[product]],Table3[Original],Table3[Product_clean],,0,1),"Unknown")</f>
        <v>Phone</v>
      </c>
      <c r="M123" s="6" t="s">
        <v>83</v>
      </c>
      <c r="N123">
        <f>IF(ISNUMBER(Table1[[#This Row],[quantity]]),Table1[[#This Row],[quantity]],IFERROR(VLOOKUP(Table1[[#This Row],[quantity]],Table5[#All],2,FALSE),"Unknown"))</f>
        <v>2</v>
      </c>
      <c r="O123" t="s">
        <v>306</v>
      </c>
      <c r="P123">
        <f>IFERROR(VALUE(SUBSTITUTE(SUBSTITUTE(SUBSTITUTE(Table1[[#This Row],[revenue]],"EUR",""),"$",""),".",",")),"")</f>
        <v>1625.33</v>
      </c>
      <c r="Q123" t="s">
        <v>55</v>
      </c>
      <c r="R123" t="str">
        <f>IF(OR(Table1[[#This Row],[currency]]="EUR",Table1[[#This Row],[currency]]="€"),"EUR",IF(OR(Table1[[#This Row],[currency]]="USD",Table1[[#This Row],[currency]]="$"),"USD","Unknown"))</f>
        <v>EUR</v>
      </c>
      <c r="S123" t="s">
        <v>47</v>
      </c>
      <c r="T123" t="str">
        <f>IFERROR(_xlfn.XLOOKUP(Table1[[#This Row],[order_status]],Table8[Original],Table8[Clean],,0,1),"Unknown")</f>
        <v>Returned</v>
      </c>
      <c r="U123" t="s">
        <v>36</v>
      </c>
      <c r="V123">
        <f>IF(ISNUMBER(Table1[[#This Row],[delivery_days]]),Table1[[#This Row],[delivery_days]],IFERROR(_xlfn.XLOOKUP(Table1[[#This Row],[delivery_days]],Table57[Original],Table57[Clean],,0,1),"Unknown"))</f>
        <v>5</v>
      </c>
    </row>
    <row r="124" spans="1:23" x14ac:dyDescent="0.3">
      <c r="A124" t="s">
        <v>307</v>
      </c>
      <c r="B124" t="str">
        <f>IF(ISBLANK(Table1[[#This Row],[order_id]]),"",IF(LEFT(Table1[[#This Row],[order_id]],3)="ORD",Table1[[#This Row],[order_id]],"ORD-" &amp; Table1[[#This Row],[order_id]]))</f>
        <v>ORD-1122</v>
      </c>
      <c r="C124" t="s">
        <v>308</v>
      </c>
      <c r="D124" s="1">
        <f>IFERROR(DATEVALUE(Table1[[#This Row],[order_date]]),"")</f>
        <v>45374</v>
      </c>
      <c r="F124" t="str">
        <f>IF(ISBLANK(Table1[[#This Row],[customer_name]]),"Unknown Customer",PROPER(SUBSTITUTE(Table1[[#This Row],[customer_name]],"Cust.","Customer")))</f>
        <v>Unknown Customer</v>
      </c>
      <c r="H124" t="str">
        <f>IFERROR(_xlfn.XLOOKUP(Table1[[#This Row],[region]],Mappings!$C$3:$C$8,Mappings!$D$3:$D$8,,0,1),"Unknown")</f>
        <v>Unknown</v>
      </c>
      <c r="I124" t="s">
        <v>50</v>
      </c>
      <c r="J124" t="str">
        <f>IFERROR(_xlfn.XLOOKUP(Table1[[#This Row],[sales_channel]],Table4[Original],Table4[Clean],,0,1),"Unknown")</f>
        <v>Mobile</v>
      </c>
      <c r="K124" t="s">
        <v>33</v>
      </c>
      <c r="L124" t="str">
        <f>IFERROR(_xlfn.XLOOKUP(Table1[[#This Row],[product]],Table3[Original],Table3[Product_clean],,0,1),"Unknown")</f>
        <v>Tablet</v>
      </c>
      <c r="M124" s="6">
        <v>1</v>
      </c>
      <c r="N124">
        <f>IF(ISNUMBER(Table1[[#This Row],[quantity]]),Table1[[#This Row],[quantity]],IFERROR(VLOOKUP(Table1[[#This Row],[quantity]],Table5[#All],2,FALSE),"Unknown"))</f>
        <v>1</v>
      </c>
      <c r="O124" t="s">
        <v>309</v>
      </c>
      <c r="P124">
        <f>IFERROR(VALUE(SUBSTITUTE(SUBSTITUTE(SUBSTITUTE(Table1[[#This Row],[revenue]],"EUR",""),"$",""),".",",")),"")</f>
        <v>2459.83</v>
      </c>
      <c r="R124" t="str">
        <f>IF(OR(Table1[[#This Row],[currency]]="EUR",Table1[[#This Row],[currency]]="€"),"EUR",IF(OR(Table1[[#This Row],[currency]]="USD",Table1[[#This Row],[currency]]="$"),"USD","Unknown"))</f>
        <v>Unknown</v>
      </c>
      <c r="S124" t="s">
        <v>30</v>
      </c>
      <c r="T124" t="str">
        <f>IFERROR(_xlfn.XLOOKUP(Table1[[#This Row],[order_status]],Table8[Original],Table8[Clean],,0,1),"Unknown")</f>
        <v>Delivered</v>
      </c>
      <c r="U124">
        <v>3</v>
      </c>
      <c r="V124">
        <f>IF(ISNUMBER(Table1[[#This Row],[delivery_days]]),Table1[[#This Row],[delivery_days]],IFERROR(_xlfn.XLOOKUP(Table1[[#This Row],[delivery_days]],Table57[Original],Table57[Clean],,0,1),"Unknown"))</f>
        <v>3</v>
      </c>
    </row>
    <row r="125" spans="1:23" x14ac:dyDescent="0.3">
      <c r="B125" t="str">
        <f>IF(ISBLANK(Table1[[#This Row],[order_id]]),"",IF(LEFT(Table1[[#This Row],[order_id]],3)="ORD",Table1[[#This Row],[order_id]],"ORD-" &amp; Table1[[#This Row],[order_id]]))</f>
        <v/>
      </c>
      <c r="C125" t="s">
        <v>310</v>
      </c>
      <c r="D125" s="1">
        <f>IFERROR(DATEVALUE(Table1[[#This Row],[order_date]]),"")</f>
        <v>45682</v>
      </c>
      <c r="F125" t="str">
        <f>IF(ISBLANK(Table1[[#This Row],[customer_name]]),"Unknown Customer",PROPER(SUBSTITUTE(Table1[[#This Row],[customer_name]],"Cust.","Customer")))</f>
        <v>Unknown Customer</v>
      </c>
      <c r="G125" t="s">
        <v>73</v>
      </c>
      <c r="H125" t="str">
        <f>IFERROR(_xlfn.XLOOKUP(Table1[[#This Row],[region]],Mappings!$C$3:$C$8,Mappings!$D$3:$D$8,,0,1),"Unknown")</f>
        <v>Europe</v>
      </c>
      <c r="I125" t="s">
        <v>27</v>
      </c>
      <c r="J125" t="str">
        <f>IFERROR(_xlfn.XLOOKUP(Table1[[#This Row],[sales_channel]],Table4[Original],Table4[Clean],,0,1),"Unknown")</f>
        <v>Online</v>
      </c>
      <c r="L125" t="str">
        <f>IFERROR(_xlfn.XLOOKUP(Table1[[#This Row],[product]],Table3[Original],Table3[Product_clean],,0,1),"Unknown")</f>
        <v>Unknown</v>
      </c>
      <c r="M125" s="6" t="s">
        <v>83</v>
      </c>
      <c r="N125">
        <f>IF(ISNUMBER(Table1[[#This Row],[quantity]]),Table1[[#This Row],[quantity]],IFERROR(VLOOKUP(Table1[[#This Row],[quantity]],Table5[#All],2,FALSE),"Unknown"))</f>
        <v>2</v>
      </c>
      <c r="P125" t="str">
        <f>IFERROR(VALUE(SUBSTITUTE(SUBSTITUTE(SUBSTITUTE(Table1[[#This Row],[revenue]],"EUR",""),"$",""),".",",")),"")</f>
        <v/>
      </c>
      <c r="Q125" t="s">
        <v>55</v>
      </c>
      <c r="R125" t="str">
        <f>IF(OR(Table1[[#This Row],[currency]]="EUR",Table1[[#This Row],[currency]]="€"),"EUR",IF(OR(Table1[[#This Row],[currency]]="USD",Table1[[#This Row],[currency]]="$"),"USD","Unknown"))</f>
        <v>EUR</v>
      </c>
      <c r="S125" t="s">
        <v>30</v>
      </c>
      <c r="T125" t="str">
        <f>IFERROR(_xlfn.XLOOKUP(Table1[[#This Row],[order_status]],Table8[Original],Table8[Clean],,0,1),"Unknown")</f>
        <v>Delivered</v>
      </c>
      <c r="U125">
        <v>5</v>
      </c>
      <c r="V125">
        <f>IF(ISNUMBER(Table1[[#This Row],[delivery_days]]),Table1[[#This Row],[delivery_days]],IFERROR(_xlfn.XLOOKUP(Table1[[#This Row],[delivery_days]],Table57[Original],Table57[Clean],,0,1),"Unknown"))</f>
        <v>5</v>
      </c>
    </row>
    <row r="126" spans="1:23" x14ac:dyDescent="0.3">
      <c r="A126" t="s">
        <v>311</v>
      </c>
      <c r="B126" t="str">
        <f>IF(ISBLANK(Table1[[#This Row],[order_id]]),"",IF(LEFT(Table1[[#This Row],[order_id]],3)="ORD",Table1[[#This Row],[order_id]],"ORD-" &amp; Table1[[#This Row],[order_id]]))</f>
        <v>ORD-1124</v>
      </c>
      <c r="C126" t="s">
        <v>312</v>
      </c>
      <c r="D126" s="1">
        <f>IFERROR(DATEVALUE(Table1[[#This Row],[order_date]]),"")</f>
        <v>45494</v>
      </c>
      <c r="E126" t="s">
        <v>313</v>
      </c>
      <c r="F126" t="str">
        <f>IF(ISBLANK(Table1[[#This Row],[customer_name]]),"Unknown Customer",PROPER(SUBSTITUTE(Table1[[#This Row],[customer_name]],"Cust.","Customer")))</f>
        <v>Customer 124</v>
      </c>
      <c r="G126" t="s">
        <v>54</v>
      </c>
      <c r="H126" t="str">
        <f>IFERROR(_xlfn.XLOOKUP(Table1[[#This Row],[region]],Mappings!$C$3:$C$8,Mappings!$D$3:$D$8,,0,1),"Unknown")</f>
        <v>USA</v>
      </c>
      <c r="I126" t="s">
        <v>14</v>
      </c>
      <c r="J126" t="str">
        <f>IFERROR(_xlfn.XLOOKUP(Table1[[#This Row],[sales_channel]],Table4[Original],Table4[Clean],,0,1),"Unknown")</f>
        <v>Online</v>
      </c>
      <c r="K126" t="s">
        <v>102</v>
      </c>
      <c r="L126" t="str">
        <f>IFERROR(_xlfn.XLOOKUP(Table1[[#This Row],[product]],Table3[Original],Table3[Product_clean],,0,1),"Unknown")</f>
        <v>Phone</v>
      </c>
      <c r="M126" s="6">
        <v>1</v>
      </c>
      <c r="N126">
        <f>IF(ISNUMBER(Table1[[#This Row],[quantity]]),Table1[[#This Row],[quantity]],IFERROR(VLOOKUP(Table1[[#This Row],[quantity]],Table5[#All],2,FALSE),"Unknown"))</f>
        <v>1</v>
      </c>
      <c r="O126" t="s">
        <v>314</v>
      </c>
      <c r="P126">
        <f>IFERROR(VALUE(SUBSTITUTE(SUBSTITUTE(SUBSTITUTE(Table1[[#This Row],[revenue]],"EUR",""),"$",""),".",",")),"")</f>
        <v>1530.92</v>
      </c>
      <c r="Q126" t="s">
        <v>55</v>
      </c>
      <c r="R126" t="str">
        <f>IF(OR(Table1[[#This Row],[currency]]="EUR",Table1[[#This Row],[currency]]="€"),"EUR",IF(OR(Table1[[#This Row],[currency]]="USD",Table1[[#This Row],[currency]]="$"),"USD","Unknown"))</f>
        <v>EUR</v>
      </c>
      <c r="S126" t="s">
        <v>23</v>
      </c>
      <c r="T126" t="str">
        <f>IFERROR(_xlfn.XLOOKUP(Table1[[#This Row],[order_status]],Table8[Original],Table8[Clean],,0,1),"Unknown")</f>
        <v>Delivered</v>
      </c>
      <c r="U126">
        <v>2</v>
      </c>
      <c r="V126">
        <f>IF(ISNUMBER(Table1[[#This Row],[delivery_days]]),Table1[[#This Row],[delivery_days]],IFERROR(_xlfn.XLOOKUP(Table1[[#This Row],[delivery_days]],Table57[Original],Table57[Clean],,0,1),"Unknown"))</f>
        <v>2</v>
      </c>
    </row>
    <row r="127" spans="1:23" x14ac:dyDescent="0.3">
      <c r="B127" t="str">
        <f>IF(ISBLANK(Table1[[#This Row],[order_id]]),"",IF(LEFT(Table1[[#This Row],[order_id]],3)="ORD",Table1[[#This Row],[order_id]],"ORD-" &amp; Table1[[#This Row],[order_id]]))</f>
        <v/>
      </c>
      <c r="C127" t="s">
        <v>315</v>
      </c>
      <c r="D127" s="1">
        <f>IFERROR(DATEVALUE(Table1[[#This Row],[order_date]]),"")</f>
        <v>45438</v>
      </c>
      <c r="F127" t="str">
        <f>IF(ISBLANK(Table1[[#This Row],[customer_name]]),"Unknown Customer",PROPER(SUBSTITUTE(Table1[[#This Row],[customer_name]],"Cust.","Customer")))</f>
        <v>Unknown Customer</v>
      </c>
      <c r="G127" t="s">
        <v>32</v>
      </c>
      <c r="H127" t="str">
        <f>IFERROR(_xlfn.XLOOKUP(Table1[[#This Row],[region]],Mappings!$C$3:$C$8,Mappings!$D$3:$D$8,,0,1),"Unknown")</f>
        <v>Europe</v>
      </c>
      <c r="I127" t="s">
        <v>68</v>
      </c>
      <c r="J127" t="str">
        <f>IFERROR(_xlfn.XLOOKUP(Table1[[#This Row],[sales_channel]],Table4[Original],Table4[Clean],,0,1),"Unknown")</f>
        <v>Online</v>
      </c>
      <c r="K127" t="s">
        <v>51</v>
      </c>
      <c r="L127" t="str">
        <f>IFERROR(_xlfn.XLOOKUP(Table1[[#This Row],[product]],Table3[Original],Table3[Product_clean],,0,1),"Unknown")</f>
        <v>Laptop</v>
      </c>
      <c r="M127" s="6">
        <v>1</v>
      </c>
      <c r="N127">
        <f>IF(ISNUMBER(Table1[[#This Row],[quantity]]),Table1[[#This Row],[quantity]],IFERROR(VLOOKUP(Table1[[#This Row],[quantity]],Table5[#All],2,FALSE),"Unknown"))</f>
        <v>1</v>
      </c>
      <c r="P127" t="str">
        <f>IFERROR(VALUE(SUBSTITUTE(SUBSTITUTE(SUBSTITUTE(Table1[[#This Row],[revenue]],"EUR",""),"$",""),".",",")),"")</f>
        <v/>
      </c>
      <c r="Q127" t="s">
        <v>17</v>
      </c>
      <c r="R127" t="str">
        <f>IF(OR(Table1[[#This Row],[currency]]="EUR",Table1[[#This Row],[currency]]="€"),"EUR",IF(OR(Table1[[#This Row],[currency]]="USD",Table1[[#This Row],[currency]]="$"),"USD","Unknown"))</f>
        <v>EUR</v>
      </c>
      <c r="S127" t="s">
        <v>35</v>
      </c>
      <c r="T127" t="str">
        <f>IFERROR(_xlfn.XLOOKUP(Table1[[#This Row],[order_status]],Table8[Original],Table8[Clean],,0,1),"Unknown")</f>
        <v>Returned</v>
      </c>
      <c r="U127">
        <v>2</v>
      </c>
      <c r="V127">
        <f>IF(ISNUMBER(Table1[[#This Row],[delivery_days]]),Table1[[#This Row],[delivery_days]],IFERROR(_xlfn.XLOOKUP(Table1[[#This Row],[delivery_days]],Table57[Original],Table57[Clean],,0,1),"Unknown"))</f>
        <v>2</v>
      </c>
      <c r="W127" t="s">
        <v>37</v>
      </c>
    </row>
    <row r="128" spans="1:23" x14ac:dyDescent="0.3">
      <c r="A128">
        <v>1126</v>
      </c>
      <c r="B128" t="str">
        <f>IF(ISBLANK(Table1[[#This Row],[order_id]]),"",IF(LEFT(Table1[[#This Row],[order_id]],3)="ORD",Table1[[#This Row],[order_id]],"ORD-" &amp; Table1[[#This Row],[order_id]]))</f>
        <v>ORD-1126</v>
      </c>
      <c r="C128" t="s">
        <v>316</v>
      </c>
      <c r="D128" s="1">
        <f>IFERROR(DATEVALUE(Table1[[#This Row],[order_date]]),"")</f>
        <v>45483</v>
      </c>
      <c r="E128" t="s">
        <v>317</v>
      </c>
      <c r="F128" t="str">
        <f>IF(ISBLANK(Table1[[#This Row],[customer_name]]),"Unknown Customer",PROPER(SUBSTITUTE(Table1[[#This Row],[customer_name]],"Cust.","Customer")))</f>
        <v>Customer 126</v>
      </c>
      <c r="G128" t="s">
        <v>26</v>
      </c>
      <c r="H128" t="str">
        <f>IFERROR(_xlfn.XLOOKUP(Table1[[#This Row],[region]],Mappings!$C$3:$C$8,Mappings!$D$3:$D$8,,0,1),"Unknown")</f>
        <v>Asia</v>
      </c>
      <c r="I128" t="s">
        <v>14</v>
      </c>
      <c r="J128" t="str">
        <f>IFERROR(_xlfn.XLOOKUP(Table1[[#This Row],[sales_channel]],Table4[Original],Table4[Clean],,0,1),"Unknown")</f>
        <v>Online</v>
      </c>
      <c r="K128" t="s">
        <v>51</v>
      </c>
      <c r="L128" t="str">
        <f>IFERROR(_xlfn.XLOOKUP(Table1[[#This Row],[product]],Table3[Original],Table3[Product_clean],,0,1),"Unknown")</f>
        <v>Laptop</v>
      </c>
      <c r="M128" s="6">
        <v>2</v>
      </c>
      <c r="N128">
        <f>IF(ISNUMBER(Table1[[#This Row],[quantity]]),Table1[[#This Row],[quantity]],IFERROR(VLOOKUP(Table1[[#This Row],[quantity]],Table5[#All],2,FALSE),"Unknown"))</f>
        <v>2</v>
      </c>
      <c r="P128" t="str">
        <f>IFERROR(VALUE(SUBSTITUTE(SUBSTITUTE(SUBSTITUTE(Table1[[#This Row],[revenue]],"EUR",""),"$",""),".",",")),"")</f>
        <v/>
      </c>
      <c r="Q128" t="s">
        <v>22</v>
      </c>
      <c r="R128" t="str">
        <f>IF(OR(Table1[[#This Row],[currency]]="EUR",Table1[[#This Row],[currency]]="€"),"EUR",IF(OR(Table1[[#This Row],[currency]]="USD",Table1[[#This Row],[currency]]="$"),"USD","Unknown"))</f>
        <v>USD</v>
      </c>
      <c r="T128" t="str">
        <f>IFERROR(_xlfn.XLOOKUP(Table1[[#This Row],[order_status]],Table8[Original],Table8[Clean],,0,1),"Unknown")</f>
        <v>Unknown</v>
      </c>
      <c r="U128" t="s">
        <v>36</v>
      </c>
      <c r="V128">
        <f>IF(ISNUMBER(Table1[[#This Row],[delivery_days]]),Table1[[#This Row],[delivery_days]],IFERROR(_xlfn.XLOOKUP(Table1[[#This Row],[delivery_days]],Table57[Original],Table57[Clean],,0,1),"Unknown"))</f>
        <v>5</v>
      </c>
    </row>
    <row r="129" spans="1:23" x14ac:dyDescent="0.3">
      <c r="B129" t="str">
        <f>IF(ISBLANK(Table1[[#This Row],[order_id]]),"",IF(LEFT(Table1[[#This Row],[order_id]],3)="ORD",Table1[[#This Row],[order_id]],"ORD-" &amp; Table1[[#This Row],[order_id]]))</f>
        <v/>
      </c>
      <c r="C129" t="s">
        <v>318</v>
      </c>
      <c r="D129" s="1">
        <f>IFERROR(DATEVALUE(Table1[[#This Row],[order_date]]),"")</f>
        <v>45324</v>
      </c>
      <c r="E129" t="s">
        <v>319</v>
      </c>
      <c r="F129" t="str">
        <f>IF(ISBLANK(Table1[[#This Row],[customer_name]]),"Unknown Customer",PROPER(SUBSTITUTE(Table1[[#This Row],[customer_name]],"Cust.","Customer")))</f>
        <v>Customer 127</v>
      </c>
      <c r="H129" t="str">
        <f>IFERROR(_xlfn.XLOOKUP(Table1[[#This Row],[region]],Mappings!$C$3:$C$8,Mappings!$D$3:$D$8,,0,1),"Unknown")</f>
        <v>Unknown</v>
      </c>
      <c r="I129" t="s">
        <v>27</v>
      </c>
      <c r="J129" t="str">
        <f>IFERROR(_xlfn.XLOOKUP(Table1[[#This Row],[sales_channel]],Table4[Original],Table4[Clean],,0,1),"Unknown")</f>
        <v>Online</v>
      </c>
      <c r="K129" t="s">
        <v>102</v>
      </c>
      <c r="L129" t="str">
        <f>IFERROR(_xlfn.XLOOKUP(Table1[[#This Row],[product]],Table3[Original],Table3[Product_clean],,0,1),"Unknown")</f>
        <v>Phone</v>
      </c>
      <c r="M129" s="6" t="s">
        <v>83</v>
      </c>
      <c r="N129">
        <f>IF(ISNUMBER(Table1[[#This Row],[quantity]]),Table1[[#This Row],[quantity]],IFERROR(VLOOKUP(Table1[[#This Row],[quantity]],Table5[#All],2,FALSE),"Unknown"))</f>
        <v>2</v>
      </c>
      <c r="P129" t="str">
        <f>IFERROR(VALUE(SUBSTITUTE(SUBSTITUTE(SUBSTITUTE(Table1[[#This Row],[revenue]],"EUR",""),"$",""),".",",")),"")</f>
        <v/>
      </c>
      <c r="Q129" t="s">
        <v>17</v>
      </c>
      <c r="R129" t="str">
        <f>IF(OR(Table1[[#This Row],[currency]]="EUR",Table1[[#This Row],[currency]]="€"),"EUR",IF(OR(Table1[[#This Row],[currency]]="USD",Table1[[#This Row],[currency]]="$"),"USD","Unknown"))</f>
        <v>EUR</v>
      </c>
      <c r="S129" t="s">
        <v>18</v>
      </c>
      <c r="T129" t="str">
        <f>IFERROR(_xlfn.XLOOKUP(Table1[[#This Row],[order_status]],Table8[Original],Table8[Clean],,0,1),"Unknown")</f>
        <v>Pending</v>
      </c>
      <c r="U129">
        <v>3</v>
      </c>
      <c r="V129">
        <f>IF(ISNUMBER(Table1[[#This Row],[delivery_days]]),Table1[[#This Row],[delivery_days]],IFERROR(_xlfn.XLOOKUP(Table1[[#This Row],[delivery_days]],Table57[Original],Table57[Clean],,0,1),"Unknown"))</f>
        <v>3</v>
      </c>
      <c r="W129" t="s">
        <v>37</v>
      </c>
    </row>
    <row r="130" spans="1:23" x14ac:dyDescent="0.3">
      <c r="B130" t="str">
        <f>IF(ISBLANK(Table1[[#This Row],[order_id]]),"",IF(LEFT(Table1[[#This Row],[order_id]],3)="ORD",Table1[[#This Row],[order_id]],"ORD-" &amp; Table1[[#This Row],[order_id]]))</f>
        <v/>
      </c>
      <c r="C130" t="s">
        <v>320</v>
      </c>
      <c r="D130" s="1" t="str">
        <f>IFERROR(DATEVALUE(Table1[[#This Row],[order_date]]),"")</f>
        <v/>
      </c>
      <c r="E130" t="s">
        <v>321</v>
      </c>
      <c r="F130" t="str">
        <f>IF(ISBLANK(Table1[[#This Row],[customer_name]]),"Unknown Customer",PROPER(SUBSTITUTE(Table1[[#This Row],[customer_name]],"Cust.","Customer")))</f>
        <v>Customer 128</v>
      </c>
      <c r="G130" t="s">
        <v>45</v>
      </c>
      <c r="H130" t="str">
        <f>IFERROR(_xlfn.XLOOKUP(Table1[[#This Row],[region]],Mappings!$C$3:$C$8,Mappings!$D$3:$D$8,,0,1),"Unknown")</f>
        <v>USA</v>
      </c>
      <c r="I130" t="s">
        <v>68</v>
      </c>
      <c r="J130" t="str">
        <f>IFERROR(_xlfn.XLOOKUP(Table1[[#This Row],[sales_channel]],Table4[Original],Table4[Clean],,0,1),"Unknown")</f>
        <v>Online</v>
      </c>
      <c r="K130" t="s">
        <v>33</v>
      </c>
      <c r="L130" t="str">
        <f>IFERROR(_xlfn.XLOOKUP(Table1[[#This Row],[product]],Table3[Original],Table3[Product_clean],,0,1),"Unknown")</f>
        <v>Tablet</v>
      </c>
      <c r="M130" s="6"/>
      <c r="N130" t="str">
        <f>IF(ISNUMBER(Table1[[#This Row],[quantity]]),Table1[[#This Row],[quantity]],IFERROR(VLOOKUP(Table1[[#This Row],[quantity]],Table5[#All],2,FALSE),"Unknown"))</f>
        <v>Unknown</v>
      </c>
      <c r="O130">
        <v>1278.8699999999999</v>
      </c>
      <c r="P130">
        <f>IFERROR(VALUE(SUBSTITUTE(SUBSTITUTE(SUBSTITUTE(Table1[[#This Row],[revenue]],"EUR",""),"$",""),".",",")),"")</f>
        <v>1278.8699999999999</v>
      </c>
      <c r="R130" t="str">
        <f>IF(OR(Table1[[#This Row],[currency]]="EUR",Table1[[#This Row],[currency]]="€"),"EUR",IF(OR(Table1[[#This Row],[currency]]="USD",Table1[[#This Row],[currency]]="$"),"USD","Unknown"))</f>
        <v>Unknown</v>
      </c>
      <c r="S130" t="s">
        <v>30</v>
      </c>
      <c r="T130" t="str">
        <f>IFERROR(_xlfn.XLOOKUP(Table1[[#This Row],[order_status]],Table8[Original],Table8[Clean],,0,1),"Unknown")</f>
        <v>Delivered</v>
      </c>
      <c r="U130">
        <v>5</v>
      </c>
      <c r="V130">
        <f>IF(ISNUMBER(Table1[[#This Row],[delivery_days]]),Table1[[#This Row],[delivery_days]],IFERROR(_xlfn.XLOOKUP(Table1[[#This Row],[delivery_days]],Table57[Original],Table57[Clean],,0,1),"Unknown"))</f>
        <v>5</v>
      </c>
    </row>
    <row r="131" spans="1:23" x14ac:dyDescent="0.3">
      <c r="A131" t="s">
        <v>322</v>
      </c>
      <c r="B131" t="str">
        <f>IF(ISBLANK(Table1[[#This Row],[order_id]]),"",IF(LEFT(Table1[[#This Row],[order_id]],3)="ORD",Table1[[#This Row],[order_id]],"ORD-" &amp; Table1[[#This Row],[order_id]]))</f>
        <v>ORD-1129</v>
      </c>
      <c r="C131" t="s">
        <v>323</v>
      </c>
      <c r="D131" s="1">
        <f>IFERROR(DATEVALUE(Table1[[#This Row],[order_date]]),"")</f>
        <v>45314</v>
      </c>
      <c r="E131" t="s">
        <v>324</v>
      </c>
      <c r="F131" t="str">
        <f>IF(ISBLANK(Table1[[#This Row],[customer_name]]),"Unknown Customer",PROPER(SUBSTITUTE(Table1[[#This Row],[customer_name]],"Cust.","Customer")))</f>
        <v>Customer 129</v>
      </c>
      <c r="H131" t="str">
        <f>IFERROR(_xlfn.XLOOKUP(Table1[[#This Row],[region]],Mappings!$C$3:$C$8,Mappings!$D$3:$D$8,,0,1),"Unknown")</f>
        <v>Unknown</v>
      </c>
      <c r="I131" t="s">
        <v>14</v>
      </c>
      <c r="J131" t="str">
        <f>IFERROR(_xlfn.XLOOKUP(Table1[[#This Row],[sales_channel]],Table4[Original],Table4[Clean],,0,1),"Unknown")</f>
        <v>Online</v>
      </c>
      <c r="K131" t="s">
        <v>102</v>
      </c>
      <c r="L131" t="str">
        <f>IFERROR(_xlfn.XLOOKUP(Table1[[#This Row],[product]],Table3[Original],Table3[Product_clean],,0,1),"Unknown")</f>
        <v>Phone</v>
      </c>
      <c r="M131" s="6">
        <v>2</v>
      </c>
      <c r="N131">
        <f>IF(ISNUMBER(Table1[[#This Row],[quantity]]),Table1[[#This Row],[quantity]],IFERROR(VLOOKUP(Table1[[#This Row],[quantity]],Table5[#All],2,FALSE),"Unknown"))</f>
        <v>2</v>
      </c>
      <c r="O131" t="s">
        <v>325</v>
      </c>
      <c r="P131">
        <f>IFERROR(VALUE(SUBSTITUTE(SUBSTITUTE(SUBSTITUTE(Table1[[#This Row],[revenue]],"EUR",""),"$",""),".",",")),"")</f>
        <v>1925.23</v>
      </c>
      <c r="Q131" t="s">
        <v>17</v>
      </c>
      <c r="R131" t="str">
        <f>IF(OR(Table1[[#This Row],[currency]]="EUR",Table1[[#This Row],[currency]]="€"),"EUR",IF(OR(Table1[[#This Row],[currency]]="USD",Table1[[#This Row],[currency]]="$"),"USD","Unknown"))</f>
        <v>EUR</v>
      </c>
      <c r="S131" t="s">
        <v>18</v>
      </c>
      <c r="T131" t="str">
        <f>IFERROR(_xlfn.XLOOKUP(Table1[[#This Row],[order_status]],Table8[Original],Table8[Clean],,0,1),"Unknown")</f>
        <v>Pending</v>
      </c>
      <c r="V131" t="str">
        <f>IF(ISNUMBER(Table1[[#This Row],[delivery_days]]),Table1[[#This Row],[delivery_days]],IFERROR(_xlfn.XLOOKUP(Table1[[#This Row],[delivery_days]],Table57[Original],Table57[Clean],,0,1),"Unknown"))</f>
        <v>Unknown</v>
      </c>
      <c r="W131" t="s">
        <v>24</v>
      </c>
    </row>
    <row r="132" spans="1:23" x14ac:dyDescent="0.3">
      <c r="B132" t="str">
        <f>IF(ISBLANK(Table1[[#This Row],[order_id]]),"",IF(LEFT(Table1[[#This Row],[order_id]],3)="ORD",Table1[[#This Row],[order_id]],"ORD-" &amp; Table1[[#This Row],[order_id]]))</f>
        <v/>
      </c>
      <c r="C132" t="s">
        <v>326</v>
      </c>
      <c r="D132" s="1">
        <f>IFERROR(DATEVALUE(Table1[[#This Row],[order_date]]),"")</f>
        <v>45360</v>
      </c>
      <c r="F132" t="str">
        <f>IF(ISBLANK(Table1[[#This Row],[customer_name]]),"Unknown Customer",PROPER(SUBSTITUTE(Table1[[#This Row],[customer_name]],"Cust.","Customer")))</f>
        <v>Unknown Customer</v>
      </c>
      <c r="H132" t="str">
        <f>IFERROR(_xlfn.XLOOKUP(Table1[[#This Row],[region]],Mappings!$C$3:$C$8,Mappings!$D$3:$D$8,,0,1),"Unknown")</f>
        <v>Unknown</v>
      </c>
      <c r="I132" t="s">
        <v>78</v>
      </c>
      <c r="J132" t="str">
        <f>IFERROR(_xlfn.XLOOKUP(Table1[[#This Row],[sales_channel]],Table4[Original],Table4[Clean],,0,1),"Unknown")</f>
        <v>Mobile</v>
      </c>
      <c r="K132" t="s">
        <v>15</v>
      </c>
      <c r="L132" t="str">
        <f>IFERROR(_xlfn.XLOOKUP(Table1[[#This Row],[product]],Table3[Original],Table3[Product_clean],,0,1),"Unknown")</f>
        <v>Tablet</v>
      </c>
      <c r="M132" s="6">
        <v>2</v>
      </c>
      <c r="N132">
        <f>IF(ISNUMBER(Table1[[#This Row],[quantity]]),Table1[[#This Row],[quantity]],IFERROR(VLOOKUP(Table1[[#This Row],[quantity]],Table5[#All],2,FALSE),"Unknown"))</f>
        <v>2</v>
      </c>
      <c r="O132" t="s">
        <v>327</v>
      </c>
      <c r="P132">
        <f>IFERROR(VALUE(SUBSTITUTE(SUBSTITUTE(SUBSTITUTE(Table1[[#This Row],[revenue]],"EUR",""),"$",""),".",",")),"")</f>
        <v>180.79</v>
      </c>
      <c r="Q132" t="s">
        <v>58</v>
      </c>
      <c r="R132" t="str">
        <f>IF(OR(Table1[[#This Row],[currency]]="EUR",Table1[[#This Row],[currency]]="€"),"EUR",IF(OR(Table1[[#This Row],[currency]]="USD",Table1[[#This Row],[currency]]="$"),"USD","Unknown"))</f>
        <v>USD</v>
      </c>
      <c r="S132" t="s">
        <v>30</v>
      </c>
      <c r="T132" t="str">
        <f>IFERROR(_xlfn.XLOOKUP(Table1[[#This Row],[order_status]],Table8[Original],Table8[Clean],,0,1),"Unknown")</f>
        <v>Delivered</v>
      </c>
      <c r="V132" t="str">
        <f>IF(ISNUMBER(Table1[[#This Row],[delivery_days]]),Table1[[#This Row],[delivery_days]],IFERROR(_xlfn.XLOOKUP(Table1[[#This Row],[delivery_days]],Table57[Original],Table57[Clean],,0,1),"Unknown"))</f>
        <v>Unknown</v>
      </c>
    </row>
    <row r="133" spans="1:23" x14ac:dyDescent="0.3">
      <c r="A133">
        <v>1131</v>
      </c>
      <c r="B133" t="str">
        <f>IF(ISBLANK(Table1[[#This Row],[order_id]]),"",IF(LEFT(Table1[[#This Row],[order_id]],3)="ORD",Table1[[#This Row],[order_id]],"ORD-" &amp; Table1[[#This Row],[order_id]]))</f>
        <v>ORD-1131</v>
      </c>
      <c r="C133" t="s">
        <v>328</v>
      </c>
      <c r="D133" s="1">
        <f>IFERROR(DATEVALUE(Table1[[#This Row],[order_date]]),"")</f>
        <v>45310</v>
      </c>
      <c r="E133" t="s">
        <v>329</v>
      </c>
      <c r="F133" t="str">
        <f>IF(ISBLANK(Table1[[#This Row],[customer_name]]),"Unknown Customer",PROPER(SUBSTITUTE(Table1[[#This Row],[customer_name]],"Cust.","Customer")))</f>
        <v>Customer 131</v>
      </c>
      <c r="G133" t="s">
        <v>26</v>
      </c>
      <c r="H133" t="str">
        <f>IFERROR(_xlfn.XLOOKUP(Table1[[#This Row],[region]],Mappings!$C$3:$C$8,Mappings!$D$3:$D$8,,0,1),"Unknown")</f>
        <v>Asia</v>
      </c>
      <c r="I133" t="s">
        <v>68</v>
      </c>
      <c r="J133" t="str">
        <f>IFERROR(_xlfn.XLOOKUP(Table1[[#This Row],[sales_channel]],Table4[Original],Table4[Clean],,0,1),"Unknown")</f>
        <v>Online</v>
      </c>
      <c r="K133" t="s">
        <v>41</v>
      </c>
      <c r="L133" t="str">
        <f>IFERROR(_xlfn.XLOOKUP(Table1[[#This Row],[product]],Table3[Original],Table3[Product_clean],,0,1),"Unknown")</f>
        <v>Phone</v>
      </c>
      <c r="M133" s="6"/>
      <c r="N133" t="str">
        <f>IF(ISNUMBER(Table1[[#This Row],[quantity]]),Table1[[#This Row],[quantity]],IFERROR(VLOOKUP(Table1[[#This Row],[quantity]],Table5[#All],2,FALSE),"Unknown"))</f>
        <v>Unknown</v>
      </c>
      <c r="O133">
        <v>915.66</v>
      </c>
      <c r="P133">
        <f>IFERROR(VALUE(SUBSTITUTE(SUBSTITUTE(SUBSTITUTE(Table1[[#This Row],[revenue]],"EUR",""),"$",""),".",",")),"")</f>
        <v>915.66</v>
      </c>
      <c r="Q133" t="s">
        <v>22</v>
      </c>
      <c r="R133" t="str">
        <f>IF(OR(Table1[[#This Row],[currency]]="EUR",Table1[[#This Row],[currency]]="€"),"EUR",IF(OR(Table1[[#This Row],[currency]]="USD",Table1[[#This Row],[currency]]="$"),"USD","Unknown"))</f>
        <v>USD</v>
      </c>
      <c r="S133" t="s">
        <v>35</v>
      </c>
      <c r="T133" t="str">
        <f>IFERROR(_xlfn.XLOOKUP(Table1[[#This Row],[order_status]],Table8[Original],Table8[Clean],,0,1),"Unknown")</f>
        <v>Returned</v>
      </c>
      <c r="U133">
        <v>1</v>
      </c>
      <c r="V133">
        <f>IF(ISNUMBER(Table1[[#This Row],[delivery_days]]),Table1[[#This Row],[delivery_days]],IFERROR(_xlfn.XLOOKUP(Table1[[#This Row],[delivery_days]],Table57[Original],Table57[Clean],,0,1),"Unknown"))</f>
        <v>1</v>
      </c>
      <c r="W133" t="s">
        <v>37</v>
      </c>
    </row>
    <row r="134" spans="1:23" x14ac:dyDescent="0.3">
      <c r="B134" t="str">
        <f>IF(ISBLANK(Table1[[#This Row],[order_id]]),"",IF(LEFT(Table1[[#This Row],[order_id]],3)="ORD",Table1[[#This Row],[order_id]],"ORD-" &amp; Table1[[#This Row],[order_id]]))</f>
        <v/>
      </c>
      <c r="C134" t="s">
        <v>330</v>
      </c>
      <c r="D134" s="1" t="str">
        <f>IFERROR(DATEVALUE(Table1[[#This Row],[order_date]]),"")</f>
        <v/>
      </c>
      <c r="E134" t="s">
        <v>331</v>
      </c>
      <c r="F134" t="str">
        <f>IF(ISBLANK(Table1[[#This Row],[customer_name]]),"Unknown Customer",PROPER(SUBSTITUTE(Table1[[#This Row],[customer_name]],"Cust.","Customer")))</f>
        <v>Customer 132</v>
      </c>
      <c r="G134" t="s">
        <v>73</v>
      </c>
      <c r="H134" t="str">
        <f>IFERROR(_xlfn.XLOOKUP(Table1[[#This Row],[region]],Mappings!$C$3:$C$8,Mappings!$D$3:$D$8,,0,1),"Unknown")</f>
        <v>Europe</v>
      </c>
      <c r="I134" t="s">
        <v>50</v>
      </c>
      <c r="J134" t="str">
        <f>IFERROR(_xlfn.XLOOKUP(Table1[[#This Row],[sales_channel]],Table4[Original],Table4[Clean],,0,1),"Unknown")</f>
        <v>Mobile</v>
      </c>
      <c r="K134" t="s">
        <v>41</v>
      </c>
      <c r="L134" t="str">
        <f>IFERROR(_xlfn.XLOOKUP(Table1[[#This Row],[product]],Table3[Original],Table3[Product_clean],,0,1),"Unknown")</f>
        <v>Phone</v>
      </c>
      <c r="M134" s="6" t="s">
        <v>83</v>
      </c>
      <c r="N134">
        <f>IF(ISNUMBER(Table1[[#This Row],[quantity]]),Table1[[#This Row],[quantity]],IFERROR(VLOOKUP(Table1[[#This Row],[quantity]],Table5[#All],2,FALSE),"Unknown"))</f>
        <v>2</v>
      </c>
      <c r="O134">
        <v>1103.07</v>
      </c>
      <c r="P134">
        <f>IFERROR(VALUE(SUBSTITUTE(SUBSTITUTE(SUBSTITUTE(Table1[[#This Row],[revenue]],"EUR",""),"$",""),".",",")),"")</f>
        <v>1103.07</v>
      </c>
      <c r="Q134" t="s">
        <v>22</v>
      </c>
      <c r="R134" t="str">
        <f>IF(OR(Table1[[#This Row],[currency]]="EUR",Table1[[#This Row],[currency]]="€"),"EUR",IF(OR(Table1[[#This Row],[currency]]="USD",Table1[[#This Row],[currency]]="$"),"USD","Unknown"))</f>
        <v>USD</v>
      </c>
      <c r="S134" t="s">
        <v>47</v>
      </c>
      <c r="T134" t="str">
        <f>IFERROR(_xlfn.XLOOKUP(Table1[[#This Row],[order_status]],Table8[Original],Table8[Clean],,0,1),"Unknown")</f>
        <v>Returned</v>
      </c>
      <c r="U134">
        <v>3</v>
      </c>
      <c r="V134">
        <f>IF(ISNUMBER(Table1[[#This Row],[delivery_days]]),Table1[[#This Row],[delivery_days]],IFERROR(_xlfn.XLOOKUP(Table1[[#This Row],[delivery_days]],Table57[Original],Table57[Clean],,0,1),"Unknown"))</f>
        <v>3</v>
      </c>
      <c r="W134" t="s">
        <v>37</v>
      </c>
    </row>
    <row r="135" spans="1:23" x14ac:dyDescent="0.3">
      <c r="B135" t="str">
        <f>IF(ISBLANK(Table1[[#This Row],[order_id]]),"",IF(LEFT(Table1[[#This Row],[order_id]],3)="ORD",Table1[[#This Row],[order_id]],"ORD-" &amp; Table1[[#This Row],[order_id]]))</f>
        <v/>
      </c>
      <c r="C135" t="s">
        <v>332</v>
      </c>
      <c r="D135" s="1">
        <f>IFERROR(DATEVALUE(Table1[[#This Row],[order_date]]),"")</f>
        <v>45605</v>
      </c>
      <c r="E135" t="s">
        <v>333</v>
      </c>
      <c r="F135" t="str">
        <f>IF(ISBLANK(Table1[[#This Row],[customer_name]]),"Unknown Customer",PROPER(SUBSTITUTE(Table1[[#This Row],[customer_name]],"Cust.","Customer")))</f>
        <v>Customer 133</v>
      </c>
      <c r="H135" t="str">
        <f>IFERROR(_xlfn.XLOOKUP(Table1[[#This Row],[region]],Mappings!$C$3:$C$8,Mappings!$D$3:$D$8,,0,1),"Unknown")</f>
        <v>Unknown</v>
      </c>
      <c r="I135" t="s">
        <v>78</v>
      </c>
      <c r="J135" t="str">
        <f>IFERROR(_xlfn.XLOOKUP(Table1[[#This Row],[sales_channel]],Table4[Original],Table4[Clean],,0,1),"Unknown")</f>
        <v>Mobile</v>
      </c>
      <c r="K135" t="s">
        <v>51</v>
      </c>
      <c r="L135" t="str">
        <f>IFERROR(_xlfn.XLOOKUP(Table1[[#This Row],[product]],Table3[Original],Table3[Product_clean],,0,1),"Unknown")</f>
        <v>Laptop</v>
      </c>
      <c r="M135" s="6" t="s">
        <v>83</v>
      </c>
      <c r="N135">
        <f>IF(ISNUMBER(Table1[[#This Row],[quantity]]),Table1[[#This Row],[quantity]],IFERROR(VLOOKUP(Table1[[#This Row],[quantity]],Table5[#All],2,FALSE),"Unknown"))</f>
        <v>2</v>
      </c>
      <c r="O135" t="s">
        <v>334</v>
      </c>
      <c r="P135">
        <f>IFERROR(VALUE(SUBSTITUTE(SUBSTITUTE(SUBSTITUTE(Table1[[#This Row],[revenue]],"EUR",""),"$",""),".",",")),"")</f>
        <v>2091.6</v>
      </c>
      <c r="R135" t="str">
        <f>IF(OR(Table1[[#This Row],[currency]]="EUR",Table1[[#This Row],[currency]]="€"),"EUR",IF(OR(Table1[[#This Row],[currency]]="USD",Table1[[#This Row],[currency]]="$"),"USD","Unknown"))</f>
        <v>Unknown</v>
      </c>
      <c r="S135" t="s">
        <v>23</v>
      </c>
      <c r="T135" t="str">
        <f>IFERROR(_xlfn.XLOOKUP(Table1[[#This Row],[order_status]],Table8[Original],Table8[Clean],,0,1),"Unknown")</f>
        <v>Delivered</v>
      </c>
      <c r="U135" t="s">
        <v>36</v>
      </c>
      <c r="V135">
        <f>IF(ISNUMBER(Table1[[#This Row],[delivery_days]]),Table1[[#This Row],[delivery_days]],IFERROR(_xlfn.XLOOKUP(Table1[[#This Row],[delivery_days]],Table57[Original],Table57[Clean],,0,1),"Unknown"))</f>
        <v>5</v>
      </c>
      <c r="W135" t="s">
        <v>24</v>
      </c>
    </row>
    <row r="136" spans="1:23" x14ac:dyDescent="0.3">
      <c r="B136" t="str">
        <f>IF(ISBLANK(Table1[[#This Row],[order_id]]),"",IF(LEFT(Table1[[#This Row],[order_id]],3)="ORD",Table1[[#This Row],[order_id]],"ORD-" &amp; Table1[[#This Row],[order_id]]))</f>
        <v/>
      </c>
      <c r="C136" t="s">
        <v>335</v>
      </c>
      <c r="D136" s="1" t="str">
        <f>IFERROR(DATEVALUE(Table1[[#This Row],[order_date]]),"")</f>
        <v/>
      </c>
      <c r="E136" t="s">
        <v>336</v>
      </c>
      <c r="F136" t="str">
        <f>IF(ISBLANK(Table1[[#This Row],[customer_name]]),"Unknown Customer",PROPER(SUBSTITUTE(Table1[[#This Row],[customer_name]],"Cust.","Customer")))</f>
        <v>Customer 134</v>
      </c>
      <c r="G136" t="s">
        <v>32</v>
      </c>
      <c r="H136" t="str">
        <f>IFERROR(_xlfn.XLOOKUP(Table1[[#This Row],[region]],Mappings!$C$3:$C$8,Mappings!$D$3:$D$8,,0,1),"Unknown")</f>
        <v>Europe</v>
      </c>
      <c r="I136" t="s">
        <v>68</v>
      </c>
      <c r="J136" t="str">
        <f>IFERROR(_xlfn.XLOOKUP(Table1[[#This Row],[sales_channel]],Table4[Original],Table4[Clean],,0,1),"Unknown")</f>
        <v>Online</v>
      </c>
      <c r="K136" t="s">
        <v>15</v>
      </c>
      <c r="L136" t="str">
        <f>IFERROR(_xlfn.XLOOKUP(Table1[[#This Row],[product]],Table3[Original],Table3[Product_clean],,0,1),"Unknown")</f>
        <v>Tablet</v>
      </c>
      <c r="M136" s="6" t="s">
        <v>83</v>
      </c>
      <c r="N136">
        <f>IF(ISNUMBER(Table1[[#This Row],[quantity]]),Table1[[#This Row],[quantity]],IFERROR(VLOOKUP(Table1[[#This Row],[quantity]],Table5[#All],2,FALSE),"Unknown"))</f>
        <v>2</v>
      </c>
      <c r="O136" t="s">
        <v>337</v>
      </c>
      <c r="P136">
        <f>IFERROR(VALUE(SUBSTITUTE(SUBSTITUTE(SUBSTITUTE(Table1[[#This Row],[revenue]],"EUR",""),"$",""),".",",")),"")</f>
        <v>352.66</v>
      </c>
      <c r="Q136" t="s">
        <v>58</v>
      </c>
      <c r="R136" t="str">
        <f>IF(OR(Table1[[#This Row],[currency]]="EUR",Table1[[#This Row],[currency]]="€"),"EUR",IF(OR(Table1[[#This Row],[currency]]="USD",Table1[[#This Row],[currency]]="$"),"USD","Unknown"))</f>
        <v>USD</v>
      </c>
      <c r="T136" t="str">
        <f>IFERROR(_xlfn.XLOOKUP(Table1[[#This Row],[order_status]],Table8[Original],Table8[Clean],,0,1),"Unknown")</f>
        <v>Unknown</v>
      </c>
      <c r="U136">
        <v>5</v>
      </c>
      <c r="V136">
        <f>IF(ISNUMBER(Table1[[#This Row],[delivery_days]]),Table1[[#This Row],[delivery_days]],IFERROR(_xlfn.XLOOKUP(Table1[[#This Row],[delivery_days]],Table57[Original],Table57[Clean],,0,1),"Unknown"))</f>
        <v>5</v>
      </c>
      <c r="W136" t="s">
        <v>24</v>
      </c>
    </row>
    <row r="137" spans="1:23" x14ac:dyDescent="0.3">
      <c r="B137" t="str">
        <f>IF(ISBLANK(Table1[[#This Row],[order_id]]),"",IF(LEFT(Table1[[#This Row],[order_id]],3)="ORD",Table1[[#This Row],[order_id]],"ORD-" &amp; Table1[[#This Row],[order_id]]))</f>
        <v/>
      </c>
      <c r="D137" s="1" t="str">
        <f>IFERROR(DATEVALUE(Table1[[#This Row],[order_date]]),"")</f>
        <v/>
      </c>
      <c r="E137" t="s">
        <v>338</v>
      </c>
      <c r="F137" t="str">
        <f>IF(ISBLANK(Table1[[#This Row],[customer_name]]),"Unknown Customer",PROPER(SUBSTITUTE(Table1[[#This Row],[customer_name]],"Cust.","Customer")))</f>
        <v>Customer 135</v>
      </c>
      <c r="H137" t="str">
        <f>IFERROR(_xlfn.XLOOKUP(Table1[[#This Row],[region]],Mappings!$C$3:$C$8,Mappings!$D$3:$D$8,,0,1),"Unknown")</f>
        <v>Unknown</v>
      </c>
      <c r="I137" t="s">
        <v>14</v>
      </c>
      <c r="J137" t="str">
        <f>IFERROR(_xlfn.XLOOKUP(Table1[[#This Row],[sales_channel]],Table4[Original],Table4[Clean],,0,1),"Unknown")</f>
        <v>Online</v>
      </c>
      <c r="K137" t="s">
        <v>51</v>
      </c>
      <c r="L137" t="str">
        <f>IFERROR(_xlfn.XLOOKUP(Table1[[#This Row],[product]],Table3[Original],Table3[Product_clean],,0,1),"Unknown")</f>
        <v>Laptop</v>
      </c>
      <c r="M137" s="6" t="s">
        <v>83</v>
      </c>
      <c r="N137">
        <f>IF(ISNUMBER(Table1[[#This Row],[quantity]]),Table1[[#This Row],[quantity]],IFERROR(VLOOKUP(Table1[[#This Row],[quantity]],Table5[#All],2,FALSE),"Unknown"))</f>
        <v>2</v>
      </c>
      <c r="O137" t="s">
        <v>339</v>
      </c>
      <c r="P137">
        <f>IFERROR(VALUE(SUBSTITUTE(SUBSTITUTE(SUBSTITUTE(Table1[[#This Row],[revenue]],"EUR",""),"$",""),".",",")),"")</f>
        <v>174.95</v>
      </c>
      <c r="Q137" t="s">
        <v>55</v>
      </c>
      <c r="R137" t="str">
        <f>IF(OR(Table1[[#This Row],[currency]]="EUR",Table1[[#This Row],[currency]]="€"),"EUR",IF(OR(Table1[[#This Row],[currency]]="USD",Table1[[#This Row],[currency]]="$"),"USD","Unknown"))</f>
        <v>EUR</v>
      </c>
      <c r="S137" t="s">
        <v>18</v>
      </c>
      <c r="T137" t="str">
        <f>IFERROR(_xlfn.XLOOKUP(Table1[[#This Row],[order_status]],Table8[Original],Table8[Clean],,0,1),"Unknown")</f>
        <v>Pending</v>
      </c>
      <c r="V137" t="str">
        <f>IF(ISNUMBER(Table1[[#This Row],[delivery_days]]),Table1[[#This Row],[delivery_days]],IFERROR(_xlfn.XLOOKUP(Table1[[#This Row],[delivery_days]],Table57[Original],Table57[Clean],,0,1),"Unknown"))</f>
        <v>Unknown</v>
      </c>
      <c r="W137" t="s">
        <v>37</v>
      </c>
    </row>
    <row r="138" spans="1:23" x14ac:dyDescent="0.3">
      <c r="A138">
        <v>1136</v>
      </c>
      <c r="B138" t="str">
        <f>IF(ISBLANK(Table1[[#This Row],[order_id]]),"",IF(LEFT(Table1[[#This Row],[order_id]],3)="ORD",Table1[[#This Row],[order_id]],"ORD-" &amp; Table1[[#This Row],[order_id]]))</f>
        <v>ORD-1136</v>
      </c>
      <c r="C138" t="s">
        <v>340</v>
      </c>
      <c r="D138" s="1">
        <f>IFERROR(DATEVALUE(Table1[[#This Row],[order_date]]),"")</f>
        <v>45307</v>
      </c>
      <c r="E138" t="s">
        <v>341</v>
      </c>
      <c r="F138" t="str">
        <f>IF(ISBLANK(Table1[[#This Row],[customer_name]]),"Unknown Customer",PROPER(SUBSTITUTE(Table1[[#This Row],[customer_name]],"Cust.","Customer")))</f>
        <v>Customer 136</v>
      </c>
      <c r="G138" t="s">
        <v>54</v>
      </c>
      <c r="H138" t="str">
        <f>IFERROR(_xlfn.XLOOKUP(Table1[[#This Row],[region]],Mappings!$C$3:$C$8,Mappings!$D$3:$D$8,,0,1),"Unknown")</f>
        <v>USA</v>
      </c>
      <c r="J138" t="str">
        <f>IFERROR(_xlfn.XLOOKUP(Table1[[#This Row],[sales_channel]],Table4[Original],Table4[Clean],,0,1),"Unknown")</f>
        <v>Unknown</v>
      </c>
      <c r="K138" t="s">
        <v>102</v>
      </c>
      <c r="L138" t="str">
        <f>IFERROR(_xlfn.XLOOKUP(Table1[[#This Row],[product]],Table3[Original],Table3[Product_clean],,0,1),"Unknown")</f>
        <v>Phone</v>
      </c>
      <c r="M138" s="6">
        <v>3</v>
      </c>
      <c r="N138">
        <f>IF(ISNUMBER(Table1[[#This Row],[quantity]]),Table1[[#This Row],[quantity]],IFERROR(VLOOKUP(Table1[[#This Row],[quantity]],Table5[#All],2,FALSE),"Unknown"))</f>
        <v>3</v>
      </c>
      <c r="P138" t="str">
        <f>IFERROR(VALUE(SUBSTITUTE(SUBSTITUTE(SUBSTITUTE(Table1[[#This Row],[revenue]],"EUR",""),"$",""),".",",")),"")</f>
        <v/>
      </c>
      <c r="Q138" t="s">
        <v>22</v>
      </c>
      <c r="R138" t="str">
        <f>IF(OR(Table1[[#This Row],[currency]]="EUR",Table1[[#This Row],[currency]]="€"),"EUR",IF(OR(Table1[[#This Row],[currency]]="USD",Table1[[#This Row],[currency]]="$"),"USD","Unknown"))</f>
        <v>USD</v>
      </c>
      <c r="S138" t="s">
        <v>18</v>
      </c>
      <c r="T138" t="str">
        <f>IFERROR(_xlfn.XLOOKUP(Table1[[#This Row],[order_status]],Table8[Original],Table8[Clean],,0,1),"Unknown")</f>
        <v>Pending</v>
      </c>
      <c r="U138">
        <v>1</v>
      </c>
      <c r="V138">
        <f>IF(ISNUMBER(Table1[[#This Row],[delivery_days]]),Table1[[#This Row],[delivery_days]],IFERROR(_xlfn.XLOOKUP(Table1[[#This Row],[delivery_days]],Table57[Original],Table57[Clean],,0,1),"Unknown"))</f>
        <v>1</v>
      </c>
      <c r="W138" t="s">
        <v>37</v>
      </c>
    </row>
    <row r="139" spans="1:23" x14ac:dyDescent="0.3">
      <c r="A139" t="s">
        <v>342</v>
      </c>
      <c r="B139" t="str">
        <f>IF(ISBLANK(Table1[[#This Row],[order_id]]),"",IF(LEFT(Table1[[#This Row],[order_id]],3)="ORD",Table1[[#This Row],[order_id]],"ORD-" &amp; Table1[[#This Row],[order_id]]))</f>
        <v>ORD-1137</v>
      </c>
      <c r="D139" s="1" t="str">
        <f>IFERROR(DATEVALUE(Table1[[#This Row],[order_date]]),"")</f>
        <v/>
      </c>
      <c r="E139" t="s">
        <v>343</v>
      </c>
      <c r="F139" t="str">
        <f>IF(ISBLANK(Table1[[#This Row],[customer_name]]),"Unknown Customer",PROPER(SUBSTITUTE(Table1[[#This Row],[customer_name]],"Cust.","Customer")))</f>
        <v>Customer 137</v>
      </c>
      <c r="G139" t="s">
        <v>45</v>
      </c>
      <c r="H139" t="str">
        <f>IFERROR(_xlfn.XLOOKUP(Table1[[#This Row],[region]],Mappings!$C$3:$C$8,Mappings!$D$3:$D$8,,0,1),"Unknown")</f>
        <v>USA</v>
      </c>
      <c r="I139" t="s">
        <v>27</v>
      </c>
      <c r="J139" t="str">
        <f>IFERROR(_xlfn.XLOOKUP(Table1[[#This Row],[sales_channel]],Table4[Original],Table4[Clean],,0,1),"Unknown")</f>
        <v>Online</v>
      </c>
      <c r="K139" t="s">
        <v>33</v>
      </c>
      <c r="L139" t="str">
        <f>IFERROR(_xlfn.XLOOKUP(Table1[[#This Row],[product]],Table3[Original],Table3[Product_clean],,0,1),"Unknown")</f>
        <v>Tablet</v>
      </c>
      <c r="M139" s="6">
        <v>3</v>
      </c>
      <c r="N139">
        <f>IF(ISNUMBER(Table1[[#This Row],[quantity]]),Table1[[#This Row],[quantity]],IFERROR(VLOOKUP(Table1[[#This Row],[quantity]],Table5[#All],2,FALSE),"Unknown"))</f>
        <v>3</v>
      </c>
      <c r="O139" t="s">
        <v>344</v>
      </c>
      <c r="P139">
        <f>IFERROR(VALUE(SUBSTITUTE(SUBSTITUTE(SUBSTITUTE(Table1[[#This Row],[revenue]],"EUR",""),"$",""),".",",")),"")</f>
        <v>1377.27</v>
      </c>
      <c r="Q139" t="s">
        <v>22</v>
      </c>
      <c r="R139" t="str">
        <f>IF(OR(Table1[[#This Row],[currency]]="EUR",Table1[[#This Row],[currency]]="€"),"EUR",IF(OR(Table1[[#This Row],[currency]]="USD",Table1[[#This Row],[currency]]="$"),"USD","Unknown"))</f>
        <v>USD</v>
      </c>
      <c r="S139" t="s">
        <v>35</v>
      </c>
      <c r="T139" t="str">
        <f>IFERROR(_xlfn.XLOOKUP(Table1[[#This Row],[order_status]],Table8[Original],Table8[Clean],,0,1),"Unknown")</f>
        <v>Returned</v>
      </c>
      <c r="V139" t="str">
        <f>IF(ISNUMBER(Table1[[#This Row],[delivery_days]]),Table1[[#This Row],[delivery_days]],IFERROR(_xlfn.XLOOKUP(Table1[[#This Row],[delivery_days]],Table57[Original],Table57[Clean],,0,1),"Unknown"))</f>
        <v>Unknown</v>
      </c>
      <c r="W139" t="s">
        <v>24</v>
      </c>
    </row>
    <row r="140" spans="1:23" x14ac:dyDescent="0.3">
      <c r="B140" t="str">
        <f>IF(ISBLANK(Table1[[#This Row],[order_id]]),"",IF(LEFT(Table1[[#This Row],[order_id]],3)="ORD",Table1[[#This Row],[order_id]],"ORD-" &amp; Table1[[#This Row],[order_id]]))</f>
        <v/>
      </c>
      <c r="C140" t="s">
        <v>345</v>
      </c>
      <c r="D140" s="1">
        <f>IFERROR(DATEVALUE(Table1[[#This Row],[order_date]]),"")</f>
        <v>45419</v>
      </c>
      <c r="F140" t="str">
        <f>IF(ISBLANK(Table1[[#This Row],[customer_name]]),"Unknown Customer",PROPER(SUBSTITUTE(Table1[[#This Row],[customer_name]],"Cust.","Customer")))</f>
        <v>Unknown Customer</v>
      </c>
      <c r="G140" t="s">
        <v>45</v>
      </c>
      <c r="H140" t="str">
        <f>IFERROR(_xlfn.XLOOKUP(Table1[[#This Row],[region]],Mappings!$C$3:$C$8,Mappings!$D$3:$D$8,,0,1),"Unknown")</f>
        <v>USA</v>
      </c>
      <c r="I140" t="s">
        <v>78</v>
      </c>
      <c r="J140" t="str">
        <f>IFERROR(_xlfn.XLOOKUP(Table1[[#This Row],[sales_channel]],Table4[Original],Table4[Clean],,0,1),"Unknown")</f>
        <v>Mobile</v>
      </c>
      <c r="K140" t="s">
        <v>33</v>
      </c>
      <c r="L140" t="str">
        <f>IFERROR(_xlfn.XLOOKUP(Table1[[#This Row],[product]],Table3[Original],Table3[Product_clean],,0,1),"Unknown")</f>
        <v>Tablet</v>
      </c>
      <c r="M140" s="6">
        <v>1</v>
      </c>
      <c r="N140">
        <f>IF(ISNUMBER(Table1[[#This Row],[quantity]]),Table1[[#This Row],[quantity]],IFERROR(VLOOKUP(Table1[[#This Row],[quantity]],Table5[#All],2,FALSE),"Unknown"))</f>
        <v>1</v>
      </c>
      <c r="O140">
        <v>2883.53</v>
      </c>
      <c r="P140">
        <f>IFERROR(VALUE(SUBSTITUTE(SUBSTITUTE(SUBSTITUTE(Table1[[#This Row],[revenue]],"EUR",""),"$",""),".",",")),"")</f>
        <v>2883.53</v>
      </c>
      <c r="Q140" t="s">
        <v>55</v>
      </c>
      <c r="R140" t="str">
        <f>IF(OR(Table1[[#This Row],[currency]]="EUR",Table1[[#This Row],[currency]]="€"),"EUR",IF(OR(Table1[[#This Row],[currency]]="USD",Table1[[#This Row],[currency]]="$"),"USD","Unknown"))</f>
        <v>EUR</v>
      </c>
      <c r="S140" t="s">
        <v>35</v>
      </c>
      <c r="T140" t="str">
        <f>IFERROR(_xlfn.XLOOKUP(Table1[[#This Row],[order_status]],Table8[Original],Table8[Clean],,0,1),"Unknown")</f>
        <v>Returned</v>
      </c>
      <c r="V140" t="str">
        <f>IF(ISNUMBER(Table1[[#This Row],[delivery_days]]),Table1[[#This Row],[delivery_days]],IFERROR(_xlfn.XLOOKUP(Table1[[#This Row],[delivery_days]],Table57[Original],Table57[Clean],,0,1),"Unknown"))</f>
        <v>Unknown</v>
      </c>
    </row>
    <row r="141" spans="1:23" x14ac:dyDescent="0.3">
      <c r="B141" t="str">
        <f>IF(ISBLANK(Table1[[#This Row],[order_id]]),"",IF(LEFT(Table1[[#This Row],[order_id]],3)="ORD",Table1[[#This Row],[order_id]],"ORD-" &amp; Table1[[#This Row],[order_id]]))</f>
        <v/>
      </c>
      <c r="D141" s="1" t="str">
        <f>IFERROR(DATEVALUE(Table1[[#This Row],[order_date]]),"")</f>
        <v/>
      </c>
      <c r="E141" t="s">
        <v>346</v>
      </c>
      <c r="F141" t="str">
        <f>IF(ISBLANK(Table1[[#This Row],[customer_name]]),"Unknown Customer",PROPER(SUBSTITUTE(Table1[[#This Row],[customer_name]],"Cust.","Customer")))</f>
        <v>Customer 139</v>
      </c>
      <c r="G141" t="s">
        <v>73</v>
      </c>
      <c r="H141" t="str">
        <f>IFERROR(_xlfn.XLOOKUP(Table1[[#This Row],[region]],Mappings!$C$3:$C$8,Mappings!$D$3:$D$8,,0,1),"Unknown")</f>
        <v>Europe</v>
      </c>
      <c r="I141" t="s">
        <v>27</v>
      </c>
      <c r="J141" t="str">
        <f>IFERROR(_xlfn.XLOOKUP(Table1[[#This Row],[sales_channel]],Table4[Original],Table4[Clean],,0,1),"Unknown")</f>
        <v>Online</v>
      </c>
      <c r="L141" t="str">
        <f>IFERROR(_xlfn.XLOOKUP(Table1[[#This Row],[product]],Table3[Original],Table3[Product_clean],,0,1),"Unknown")</f>
        <v>Unknown</v>
      </c>
      <c r="M141" s="6">
        <v>1</v>
      </c>
      <c r="N141">
        <f>IF(ISNUMBER(Table1[[#This Row],[quantity]]),Table1[[#This Row],[quantity]],IFERROR(VLOOKUP(Table1[[#This Row],[quantity]],Table5[#All],2,FALSE),"Unknown"))</f>
        <v>1</v>
      </c>
      <c r="O141" t="s">
        <v>347</v>
      </c>
      <c r="P141">
        <f>IFERROR(VALUE(SUBSTITUTE(SUBSTITUTE(SUBSTITUTE(Table1[[#This Row],[revenue]],"EUR",""),"$",""),".",",")),"")</f>
        <v>2989.28</v>
      </c>
      <c r="Q141" t="s">
        <v>22</v>
      </c>
      <c r="R141" t="str">
        <f>IF(OR(Table1[[#This Row],[currency]]="EUR",Table1[[#This Row],[currency]]="€"),"EUR",IF(OR(Table1[[#This Row],[currency]]="USD",Table1[[#This Row],[currency]]="$"),"USD","Unknown"))</f>
        <v>USD</v>
      </c>
      <c r="S141" t="s">
        <v>23</v>
      </c>
      <c r="T141" t="str">
        <f>IFERROR(_xlfn.XLOOKUP(Table1[[#This Row],[order_status]],Table8[Original],Table8[Clean],,0,1),"Unknown")</f>
        <v>Delivered</v>
      </c>
      <c r="V141" t="str">
        <f>IF(ISNUMBER(Table1[[#This Row],[delivery_days]]),Table1[[#This Row],[delivery_days]],IFERROR(_xlfn.XLOOKUP(Table1[[#This Row],[delivery_days]],Table57[Original],Table57[Clean],,0,1),"Unknown"))</f>
        <v>Unknown</v>
      </c>
    </row>
    <row r="142" spans="1:23" x14ac:dyDescent="0.3">
      <c r="B142" t="str">
        <f>IF(ISBLANK(Table1[[#This Row],[order_id]]),"",IF(LEFT(Table1[[#This Row],[order_id]],3)="ORD",Table1[[#This Row],[order_id]],"ORD-" &amp; Table1[[#This Row],[order_id]]))</f>
        <v/>
      </c>
      <c r="C142" t="s">
        <v>348</v>
      </c>
      <c r="D142" s="1" t="str">
        <f>IFERROR(DATEVALUE(Table1[[#This Row],[order_date]]),"")</f>
        <v/>
      </c>
      <c r="E142" t="s">
        <v>349</v>
      </c>
      <c r="F142" t="str">
        <f>IF(ISBLANK(Table1[[#This Row],[customer_name]]),"Unknown Customer",PROPER(SUBSTITUTE(Table1[[#This Row],[customer_name]],"Cust.","Customer")))</f>
        <v>Customer 140</v>
      </c>
      <c r="G142" t="s">
        <v>45</v>
      </c>
      <c r="H142" t="str">
        <f>IFERROR(_xlfn.XLOOKUP(Table1[[#This Row],[region]],Mappings!$C$3:$C$8,Mappings!$D$3:$D$8,,0,1),"Unknown")</f>
        <v>USA</v>
      </c>
      <c r="I142" t="s">
        <v>68</v>
      </c>
      <c r="J142" t="str">
        <f>IFERROR(_xlfn.XLOOKUP(Table1[[#This Row],[sales_channel]],Table4[Original],Table4[Clean],,0,1),"Unknown")</f>
        <v>Online</v>
      </c>
      <c r="K142" t="s">
        <v>102</v>
      </c>
      <c r="L142" t="str">
        <f>IFERROR(_xlfn.XLOOKUP(Table1[[#This Row],[product]],Table3[Original],Table3[Product_clean],,0,1),"Unknown")</f>
        <v>Phone</v>
      </c>
      <c r="M142" s="6">
        <v>3</v>
      </c>
      <c r="N142">
        <f>IF(ISNUMBER(Table1[[#This Row],[quantity]]),Table1[[#This Row],[quantity]],IFERROR(VLOOKUP(Table1[[#This Row],[quantity]],Table5[#All],2,FALSE),"Unknown"))</f>
        <v>3</v>
      </c>
      <c r="O142" t="s">
        <v>350</v>
      </c>
      <c r="P142">
        <f>IFERROR(VALUE(SUBSTITUTE(SUBSTITUTE(SUBSTITUTE(Table1[[#This Row],[revenue]],"EUR",""),"$",""),".",",")),"")</f>
        <v>2441.0100000000002</v>
      </c>
      <c r="Q142" t="s">
        <v>58</v>
      </c>
      <c r="R142" t="str">
        <f>IF(OR(Table1[[#This Row],[currency]]="EUR",Table1[[#This Row],[currency]]="€"),"EUR",IF(OR(Table1[[#This Row],[currency]]="USD",Table1[[#This Row],[currency]]="$"),"USD","Unknown"))</f>
        <v>USD</v>
      </c>
      <c r="T142" t="str">
        <f>IFERROR(_xlfn.XLOOKUP(Table1[[#This Row],[order_status]],Table8[Original],Table8[Clean],,0,1),"Unknown")</f>
        <v>Unknown</v>
      </c>
      <c r="V142" t="str">
        <f>IF(ISNUMBER(Table1[[#This Row],[delivery_days]]),Table1[[#This Row],[delivery_days]],IFERROR(_xlfn.XLOOKUP(Table1[[#This Row],[delivery_days]],Table57[Original],Table57[Clean],,0,1),"Unknown"))</f>
        <v>Unknown</v>
      </c>
      <c r="W142" t="s">
        <v>37</v>
      </c>
    </row>
    <row r="143" spans="1:23" x14ac:dyDescent="0.3">
      <c r="A143">
        <v>1141</v>
      </c>
      <c r="B143" t="str">
        <f>IF(ISBLANK(Table1[[#This Row],[order_id]]),"",IF(LEFT(Table1[[#This Row],[order_id]],3)="ORD",Table1[[#This Row],[order_id]],"ORD-" &amp; Table1[[#This Row],[order_id]]))</f>
        <v>ORD-1141</v>
      </c>
      <c r="C143" t="s">
        <v>351</v>
      </c>
      <c r="D143" s="1">
        <f>IFERROR(DATEVALUE(Table1[[#This Row],[order_date]]),"")</f>
        <v>45698</v>
      </c>
      <c r="E143" t="s">
        <v>352</v>
      </c>
      <c r="F143" t="str">
        <f>IF(ISBLANK(Table1[[#This Row],[customer_name]]),"Unknown Customer",PROPER(SUBSTITUTE(Table1[[#This Row],[customer_name]],"Cust.","Customer")))</f>
        <v>Customer 141</v>
      </c>
      <c r="G143" t="s">
        <v>54</v>
      </c>
      <c r="H143" t="str">
        <f>IFERROR(_xlfn.XLOOKUP(Table1[[#This Row],[region]],Mappings!$C$3:$C$8,Mappings!$D$3:$D$8,,0,1),"Unknown")</f>
        <v>USA</v>
      </c>
      <c r="I143" t="s">
        <v>78</v>
      </c>
      <c r="J143" t="str">
        <f>IFERROR(_xlfn.XLOOKUP(Table1[[#This Row],[sales_channel]],Table4[Original],Table4[Clean],,0,1),"Unknown")</f>
        <v>Mobile</v>
      </c>
      <c r="K143" t="s">
        <v>51</v>
      </c>
      <c r="L143" t="str">
        <f>IFERROR(_xlfn.XLOOKUP(Table1[[#This Row],[product]],Table3[Original],Table3[Product_clean],,0,1),"Unknown")</f>
        <v>Laptop</v>
      </c>
      <c r="M143" s="6">
        <v>3</v>
      </c>
      <c r="N143">
        <f>IF(ISNUMBER(Table1[[#This Row],[quantity]]),Table1[[#This Row],[quantity]],IFERROR(VLOOKUP(Table1[[#This Row],[quantity]],Table5[#All],2,FALSE),"Unknown"))</f>
        <v>3</v>
      </c>
      <c r="O143" t="s">
        <v>353</v>
      </c>
      <c r="P143">
        <f>IFERROR(VALUE(SUBSTITUTE(SUBSTITUTE(SUBSTITUTE(Table1[[#This Row],[revenue]],"EUR",""),"$",""),".",",")),"")</f>
        <v>1116.4000000000001</v>
      </c>
      <c r="R143" t="str">
        <f>IF(OR(Table1[[#This Row],[currency]]="EUR",Table1[[#This Row],[currency]]="€"),"EUR",IF(OR(Table1[[#This Row],[currency]]="USD",Table1[[#This Row],[currency]]="$"),"USD","Unknown"))</f>
        <v>Unknown</v>
      </c>
      <c r="S143" t="s">
        <v>18</v>
      </c>
      <c r="T143" t="str">
        <f>IFERROR(_xlfn.XLOOKUP(Table1[[#This Row],[order_status]],Table8[Original],Table8[Clean],,0,1),"Unknown")</f>
        <v>Pending</v>
      </c>
      <c r="U143">
        <v>3</v>
      </c>
      <c r="V143">
        <f>IF(ISNUMBER(Table1[[#This Row],[delivery_days]]),Table1[[#This Row],[delivery_days]],IFERROR(_xlfn.XLOOKUP(Table1[[#This Row],[delivery_days]],Table57[Original],Table57[Clean],,0,1),"Unknown"))</f>
        <v>3</v>
      </c>
    </row>
    <row r="144" spans="1:23" x14ac:dyDescent="0.3">
      <c r="B144" t="str">
        <f>IF(ISBLANK(Table1[[#This Row],[order_id]]),"",IF(LEFT(Table1[[#This Row],[order_id]],3)="ORD",Table1[[#This Row],[order_id]],"ORD-" &amp; Table1[[#This Row],[order_id]]))</f>
        <v/>
      </c>
      <c r="C144" t="s">
        <v>354</v>
      </c>
      <c r="D144" s="1">
        <f>IFERROR(DATEVALUE(Table1[[#This Row],[order_date]]),"")</f>
        <v>45703</v>
      </c>
      <c r="E144" t="s">
        <v>355</v>
      </c>
      <c r="F144" t="str">
        <f>IF(ISBLANK(Table1[[#This Row],[customer_name]]),"Unknown Customer",PROPER(SUBSTITUTE(Table1[[#This Row],[customer_name]],"Cust.","Customer")))</f>
        <v>Customer 142</v>
      </c>
      <c r="G144" t="s">
        <v>26</v>
      </c>
      <c r="H144" t="str">
        <f>IFERROR(_xlfn.XLOOKUP(Table1[[#This Row],[region]],Mappings!$C$3:$C$8,Mappings!$D$3:$D$8,,0,1),"Unknown")</f>
        <v>Asia</v>
      </c>
      <c r="I144" t="s">
        <v>78</v>
      </c>
      <c r="J144" t="str">
        <f>IFERROR(_xlfn.XLOOKUP(Table1[[#This Row],[sales_channel]],Table4[Original],Table4[Clean],,0,1),"Unknown")</f>
        <v>Mobile</v>
      </c>
      <c r="K144" t="s">
        <v>15</v>
      </c>
      <c r="L144" t="str">
        <f>IFERROR(_xlfn.XLOOKUP(Table1[[#This Row],[product]],Table3[Original],Table3[Product_clean],,0,1),"Unknown")</f>
        <v>Tablet</v>
      </c>
      <c r="M144" s="6" t="s">
        <v>83</v>
      </c>
      <c r="N144">
        <f>IF(ISNUMBER(Table1[[#This Row],[quantity]]),Table1[[#This Row],[quantity]],IFERROR(VLOOKUP(Table1[[#This Row],[quantity]],Table5[#All],2,FALSE),"Unknown"))</f>
        <v>2</v>
      </c>
      <c r="O144" t="s">
        <v>356</v>
      </c>
      <c r="P144">
        <f>IFERROR(VALUE(SUBSTITUTE(SUBSTITUTE(SUBSTITUTE(Table1[[#This Row],[revenue]],"EUR",""),"$",""),".",",")),"")</f>
        <v>2949.89</v>
      </c>
      <c r="R144" t="str">
        <f>IF(OR(Table1[[#This Row],[currency]]="EUR",Table1[[#This Row],[currency]]="€"),"EUR",IF(OR(Table1[[#This Row],[currency]]="USD",Table1[[#This Row],[currency]]="$"),"USD","Unknown"))</f>
        <v>Unknown</v>
      </c>
      <c r="S144" t="s">
        <v>47</v>
      </c>
      <c r="T144" t="str">
        <f>IFERROR(_xlfn.XLOOKUP(Table1[[#This Row],[order_status]],Table8[Original],Table8[Clean],,0,1),"Unknown")</f>
        <v>Returned</v>
      </c>
      <c r="U144">
        <v>5</v>
      </c>
      <c r="V144">
        <f>IF(ISNUMBER(Table1[[#This Row],[delivery_days]]),Table1[[#This Row],[delivery_days]],IFERROR(_xlfn.XLOOKUP(Table1[[#This Row],[delivery_days]],Table57[Original],Table57[Clean],,0,1),"Unknown"))</f>
        <v>5</v>
      </c>
    </row>
    <row r="145" spans="1:23" x14ac:dyDescent="0.3">
      <c r="A145" t="s">
        <v>357</v>
      </c>
      <c r="B145" t="str">
        <f>IF(ISBLANK(Table1[[#This Row],[order_id]]),"",IF(LEFT(Table1[[#This Row],[order_id]],3)="ORD",Table1[[#This Row],[order_id]],"ORD-" &amp; Table1[[#This Row],[order_id]]))</f>
        <v>ORD-1143</v>
      </c>
      <c r="D145" s="1" t="str">
        <f>IFERROR(DATEVALUE(Table1[[#This Row],[order_date]]),"")</f>
        <v/>
      </c>
      <c r="E145" t="s">
        <v>358</v>
      </c>
      <c r="F145" t="str">
        <f>IF(ISBLANK(Table1[[#This Row],[customer_name]]),"Unknown Customer",PROPER(SUBSTITUTE(Table1[[#This Row],[customer_name]],"Cust.","Customer")))</f>
        <v>Customer 143</v>
      </c>
      <c r="G145" t="s">
        <v>54</v>
      </c>
      <c r="H145" t="str">
        <f>IFERROR(_xlfn.XLOOKUP(Table1[[#This Row],[region]],Mappings!$C$3:$C$8,Mappings!$D$3:$D$8,,0,1),"Unknown")</f>
        <v>USA</v>
      </c>
      <c r="I145" t="s">
        <v>68</v>
      </c>
      <c r="J145" t="str">
        <f>IFERROR(_xlfn.XLOOKUP(Table1[[#This Row],[sales_channel]],Table4[Original],Table4[Clean],,0,1),"Unknown")</f>
        <v>Online</v>
      </c>
      <c r="K145" t="s">
        <v>15</v>
      </c>
      <c r="L145" t="str">
        <f>IFERROR(_xlfn.XLOOKUP(Table1[[#This Row],[product]],Table3[Original],Table3[Product_clean],,0,1),"Unknown")</f>
        <v>Tablet</v>
      </c>
      <c r="M145" s="6"/>
      <c r="N145" t="str">
        <f>IF(ISNUMBER(Table1[[#This Row],[quantity]]),Table1[[#This Row],[quantity]],IFERROR(VLOOKUP(Table1[[#This Row],[quantity]],Table5[#All],2,FALSE),"Unknown"))</f>
        <v>Unknown</v>
      </c>
      <c r="O145">
        <v>2918.52</v>
      </c>
      <c r="P145">
        <f>IFERROR(VALUE(SUBSTITUTE(SUBSTITUTE(SUBSTITUTE(Table1[[#This Row],[revenue]],"EUR",""),"$",""),".",",")),"")</f>
        <v>2918.52</v>
      </c>
      <c r="Q145" t="s">
        <v>58</v>
      </c>
      <c r="R145" t="str">
        <f>IF(OR(Table1[[#This Row],[currency]]="EUR",Table1[[#This Row],[currency]]="€"),"EUR",IF(OR(Table1[[#This Row],[currency]]="USD",Table1[[#This Row],[currency]]="$"),"USD","Unknown"))</f>
        <v>USD</v>
      </c>
      <c r="S145" t="s">
        <v>23</v>
      </c>
      <c r="T145" t="str">
        <f>IFERROR(_xlfn.XLOOKUP(Table1[[#This Row],[order_status]],Table8[Original],Table8[Clean],,0,1),"Unknown")</f>
        <v>Delivered</v>
      </c>
      <c r="U145">
        <v>5</v>
      </c>
      <c r="V145">
        <f>IF(ISNUMBER(Table1[[#This Row],[delivery_days]]),Table1[[#This Row],[delivery_days]],IFERROR(_xlfn.XLOOKUP(Table1[[#This Row],[delivery_days]],Table57[Original],Table57[Clean],,0,1),"Unknown"))</f>
        <v>5</v>
      </c>
    </row>
    <row r="146" spans="1:23" x14ac:dyDescent="0.3">
      <c r="A146">
        <v>1144</v>
      </c>
      <c r="B146" t="str">
        <f>IF(ISBLANK(Table1[[#This Row],[order_id]]),"",IF(LEFT(Table1[[#This Row],[order_id]],3)="ORD",Table1[[#This Row],[order_id]],"ORD-" &amp; Table1[[#This Row],[order_id]]))</f>
        <v>ORD-1144</v>
      </c>
      <c r="C146" t="s">
        <v>359</v>
      </c>
      <c r="D146" s="1">
        <f>IFERROR(DATEVALUE(Table1[[#This Row],[order_date]]),"")</f>
        <v>45355</v>
      </c>
      <c r="E146" t="s">
        <v>360</v>
      </c>
      <c r="F146" t="str">
        <f>IF(ISBLANK(Table1[[#This Row],[customer_name]]),"Unknown Customer",PROPER(SUBSTITUTE(Table1[[#This Row],[customer_name]],"Cust.","Customer")))</f>
        <v>Customer 144</v>
      </c>
      <c r="H146" t="str">
        <f>IFERROR(_xlfn.XLOOKUP(Table1[[#This Row],[region]],Mappings!$C$3:$C$8,Mappings!$D$3:$D$8,,0,1),"Unknown")</f>
        <v>Unknown</v>
      </c>
      <c r="I146" t="s">
        <v>27</v>
      </c>
      <c r="J146" t="str">
        <f>IFERROR(_xlfn.XLOOKUP(Table1[[#This Row],[sales_channel]],Table4[Original],Table4[Clean],,0,1),"Unknown")</f>
        <v>Online</v>
      </c>
      <c r="K146" t="s">
        <v>102</v>
      </c>
      <c r="L146" t="str">
        <f>IFERROR(_xlfn.XLOOKUP(Table1[[#This Row],[product]],Table3[Original],Table3[Product_clean],,0,1),"Unknown")</f>
        <v>Phone</v>
      </c>
      <c r="M146" s="6"/>
      <c r="N146" t="str">
        <f>IF(ISNUMBER(Table1[[#This Row],[quantity]]),Table1[[#This Row],[quantity]],IFERROR(VLOOKUP(Table1[[#This Row],[quantity]],Table5[#All],2,FALSE),"Unknown"))</f>
        <v>Unknown</v>
      </c>
      <c r="O146" t="s">
        <v>361</v>
      </c>
      <c r="P146">
        <f>IFERROR(VALUE(SUBSTITUTE(SUBSTITUTE(SUBSTITUTE(Table1[[#This Row],[revenue]],"EUR",""),"$",""),".",",")),"")</f>
        <v>1578.4</v>
      </c>
      <c r="Q146" t="s">
        <v>55</v>
      </c>
      <c r="R146" t="str">
        <f>IF(OR(Table1[[#This Row],[currency]]="EUR",Table1[[#This Row],[currency]]="€"),"EUR",IF(OR(Table1[[#This Row],[currency]]="USD",Table1[[#This Row],[currency]]="$"),"USD","Unknown"))</f>
        <v>EUR</v>
      </c>
      <c r="S146" t="s">
        <v>30</v>
      </c>
      <c r="T146" t="str">
        <f>IFERROR(_xlfn.XLOOKUP(Table1[[#This Row],[order_status]],Table8[Original],Table8[Clean],,0,1),"Unknown")</f>
        <v>Delivered</v>
      </c>
      <c r="U146">
        <v>3</v>
      </c>
      <c r="V146">
        <f>IF(ISNUMBER(Table1[[#This Row],[delivery_days]]),Table1[[#This Row],[delivery_days]],IFERROR(_xlfn.XLOOKUP(Table1[[#This Row],[delivery_days]],Table57[Original],Table57[Clean],,0,1),"Unknown"))</f>
        <v>3</v>
      </c>
      <c r="W146" t="s">
        <v>37</v>
      </c>
    </row>
    <row r="147" spans="1:23" x14ac:dyDescent="0.3">
      <c r="A147">
        <v>1145</v>
      </c>
      <c r="B147" t="str">
        <f>IF(ISBLANK(Table1[[#This Row],[order_id]]),"",IF(LEFT(Table1[[#This Row],[order_id]],3)="ORD",Table1[[#This Row],[order_id]],"ORD-" &amp; Table1[[#This Row],[order_id]]))</f>
        <v>ORD-1145</v>
      </c>
      <c r="C147" t="s">
        <v>182</v>
      </c>
      <c r="D147" s="1" t="str">
        <f>IFERROR(DATEVALUE(Table1[[#This Row],[order_date]]),"")</f>
        <v/>
      </c>
      <c r="E147" t="s">
        <v>362</v>
      </c>
      <c r="F147" t="str">
        <f>IF(ISBLANK(Table1[[#This Row],[customer_name]]),"Unknown Customer",PROPER(SUBSTITUTE(Table1[[#This Row],[customer_name]],"Cust.","Customer")))</f>
        <v>Customer 145</v>
      </c>
      <c r="G147" t="s">
        <v>45</v>
      </c>
      <c r="H147" t="str">
        <f>IFERROR(_xlfn.XLOOKUP(Table1[[#This Row],[region]],Mappings!$C$3:$C$8,Mappings!$D$3:$D$8,,0,1),"Unknown")</f>
        <v>USA</v>
      </c>
      <c r="J147" t="str">
        <f>IFERROR(_xlfn.XLOOKUP(Table1[[#This Row],[sales_channel]],Table4[Original],Table4[Clean],,0,1),"Unknown")</f>
        <v>Unknown</v>
      </c>
      <c r="K147" t="s">
        <v>28</v>
      </c>
      <c r="L147" t="str">
        <f>IFERROR(_xlfn.XLOOKUP(Table1[[#This Row],[product]],Table3[Original],Table3[Product_clean],,0,1),"Unknown")</f>
        <v>Laptop</v>
      </c>
      <c r="M147" s="6"/>
      <c r="N147" t="str">
        <f>IF(ISNUMBER(Table1[[#This Row],[quantity]]),Table1[[#This Row],[quantity]],IFERROR(VLOOKUP(Table1[[#This Row],[quantity]],Table5[#All],2,FALSE),"Unknown"))</f>
        <v>Unknown</v>
      </c>
      <c r="O147" t="s">
        <v>363</v>
      </c>
      <c r="P147">
        <f>IFERROR(VALUE(SUBSTITUTE(SUBSTITUTE(SUBSTITUTE(Table1[[#This Row],[revenue]],"EUR",""),"$",""),".",",")),"")</f>
        <v>2871.24</v>
      </c>
      <c r="R147" t="str">
        <f>IF(OR(Table1[[#This Row],[currency]]="EUR",Table1[[#This Row],[currency]]="€"),"EUR",IF(OR(Table1[[#This Row],[currency]]="USD",Table1[[#This Row],[currency]]="$"),"USD","Unknown"))</f>
        <v>Unknown</v>
      </c>
      <c r="S147" t="s">
        <v>23</v>
      </c>
      <c r="T147" t="str">
        <f>IFERROR(_xlfn.XLOOKUP(Table1[[#This Row],[order_status]],Table8[Original],Table8[Clean],,0,1),"Unknown")</f>
        <v>Delivered</v>
      </c>
      <c r="U147">
        <v>2</v>
      </c>
      <c r="V147">
        <f>IF(ISNUMBER(Table1[[#This Row],[delivery_days]]),Table1[[#This Row],[delivery_days]],IFERROR(_xlfn.XLOOKUP(Table1[[#This Row],[delivery_days]],Table57[Original],Table57[Clean],,0,1),"Unknown"))</f>
        <v>2</v>
      </c>
      <c r="W147" t="s">
        <v>24</v>
      </c>
    </row>
    <row r="148" spans="1:23" x14ac:dyDescent="0.3">
      <c r="A148">
        <v>1146</v>
      </c>
      <c r="B148" t="str">
        <f>IF(ISBLANK(Table1[[#This Row],[order_id]]),"",IF(LEFT(Table1[[#This Row],[order_id]],3)="ORD",Table1[[#This Row],[order_id]],"ORD-" &amp; Table1[[#This Row],[order_id]]))</f>
        <v>ORD-1146</v>
      </c>
      <c r="C148" t="s">
        <v>364</v>
      </c>
      <c r="D148" s="1">
        <f>IFERROR(DATEVALUE(Table1[[#This Row],[order_date]]),"")</f>
        <v>45580</v>
      </c>
      <c r="E148" t="s">
        <v>365</v>
      </c>
      <c r="F148" t="str">
        <f>IF(ISBLANK(Table1[[#This Row],[customer_name]]),"Unknown Customer",PROPER(SUBSTITUTE(Table1[[#This Row],[customer_name]],"Cust.","Customer")))</f>
        <v>Customer 146</v>
      </c>
      <c r="H148" t="str">
        <f>IFERROR(_xlfn.XLOOKUP(Table1[[#This Row],[region]],Mappings!$C$3:$C$8,Mappings!$D$3:$D$8,,0,1),"Unknown")</f>
        <v>Unknown</v>
      </c>
      <c r="I148" t="s">
        <v>27</v>
      </c>
      <c r="J148" t="str">
        <f>IFERROR(_xlfn.XLOOKUP(Table1[[#This Row],[sales_channel]],Table4[Original],Table4[Clean],,0,1),"Unknown")</f>
        <v>Online</v>
      </c>
      <c r="L148" t="str">
        <f>IFERROR(_xlfn.XLOOKUP(Table1[[#This Row],[product]],Table3[Original],Table3[Product_clean],,0,1),"Unknown")</f>
        <v>Unknown</v>
      </c>
      <c r="M148" s="6"/>
      <c r="N148" t="str">
        <f>IF(ISNUMBER(Table1[[#This Row],[quantity]]),Table1[[#This Row],[quantity]],IFERROR(VLOOKUP(Table1[[#This Row],[quantity]],Table5[#All],2,FALSE),"Unknown"))</f>
        <v>Unknown</v>
      </c>
      <c r="O148">
        <v>171.52</v>
      </c>
      <c r="P148">
        <f>IFERROR(VALUE(SUBSTITUTE(SUBSTITUTE(SUBSTITUTE(Table1[[#This Row],[revenue]],"EUR",""),"$",""),".",",")),"")</f>
        <v>171.52</v>
      </c>
      <c r="Q148" t="s">
        <v>22</v>
      </c>
      <c r="R148" t="str">
        <f>IF(OR(Table1[[#This Row],[currency]]="EUR",Table1[[#This Row],[currency]]="€"),"EUR",IF(OR(Table1[[#This Row],[currency]]="USD",Table1[[#This Row],[currency]]="$"),"USD","Unknown"))</f>
        <v>USD</v>
      </c>
      <c r="S148" t="s">
        <v>18</v>
      </c>
      <c r="T148" t="str">
        <f>IFERROR(_xlfn.XLOOKUP(Table1[[#This Row],[order_status]],Table8[Original],Table8[Clean],,0,1),"Unknown")</f>
        <v>Pending</v>
      </c>
      <c r="V148" t="str">
        <f>IF(ISNUMBER(Table1[[#This Row],[delivery_days]]),Table1[[#This Row],[delivery_days]],IFERROR(_xlfn.XLOOKUP(Table1[[#This Row],[delivery_days]],Table57[Original],Table57[Clean],,0,1),"Unknown"))</f>
        <v>Unknown</v>
      </c>
    </row>
    <row r="149" spans="1:23" x14ac:dyDescent="0.3">
      <c r="B149" t="str">
        <f>IF(ISBLANK(Table1[[#This Row],[order_id]]),"",IF(LEFT(Table1[[#This Row],[order_id]],3)="ORD",Table1[[#This Row],[order_id]],"ORD-" &amp; Table1[[#This Row],[order_id]]))</f>
        <v/>
      </c>
      <c r="C149" t="s">
        <v>332</v>
      </c>
      <c r="D149" s="1">
        <f>IFERROR(DATEVALUE(Table1[[#This Row],[order_date]]),"")</f>
        <v>45605</v>
      </c>
      <c r="F149" t="str">
        <f>IF(ISBLANK(Table1[[#This Row],[customer_name]]),"Unknown Customer",PROPER(SUBSTITUTE(Table1[[#This Row],[customer_name]],"Cust.","Customer")))</f>
        <v>Unknown Customer</v>
      </c>
      <c r="G149" t="s">
        <v>54</v>
      </c>
      <c r="H149" t="str">
        <f>IFERROR(_xlfn.XLOOKUP(Table1[[#This Row],[region]],Mappings!$C$3:$C$8,Mappings!$D$3:$D$8,,0,1),"Unknown")</f>
        <v>USA</v>
      </c>
      <c r="J149" t="str">
        <f>IFERROR(_xlfn.XLOOKUP(Table1[[#This Row],[sales_channel]],Table4[Original],Table4[Clean],,0,1),"Unknown")</f>
        <v>Unknown</v>
      </c>
      <c r="K149" t="s">
        <v>41</v>
      </c>
      <c r="L149" t="str">
        <f>IFERROR(_xlfn.XLOOKUP(Table1[[#This Row],[product]],Table3[Original],Table3[Product_clean],,0,1),"Unknown")</f>
        <v>Phone</v>
      </c>
      <c r="M149" s="6">
        <v>3</v>
      </c>
      <c r="N149">
        <f>IF(ISNUMBER(Table1[[#This Row],[quantity]]),Table1[[#This Row],[quantity]],IFERROR(VLOOKUP(Table1[[#This Row],[quantity]],Table5[#All],2,FALSE),"Unknown"))</f>
        <v>3</v>
      </c>
      <c r="O149" t="s">
        <v>366</v>
      </c>
      <c r="P149">
        <f>IFERROR(VALUE(SUBSTITUTE(SUBSTITUTE(SUBSTITUTE(Table1[[#This Row],[revenue]],"EUR",""),"$",""),".",",")),"")</f>
        <v>2672.54</v>
      </c>
      <c r="Q149" t="s">
        <v>22</v>
      </c>
      <c r="R149" t="str">
        <f>IF(OR(Table1[[#This Row],[currency]]="EUR",Table1[[#This Row],[currency]]="€"),"EUR",IF(OR(Table1[[#This Row],[currency]]="USD",Table1[[#This Row],[currency]]="$"),"USD","Unknown"))</f>
        <v>USD</v>
      </c>
      <c r="S149" t="s">
        <v>30</v>
      </c>
      <c r="T149" t="str">
        <f>IFERROR(_xlfn.XLOOKUP(Table1[[#This Row],[order_status]],Table8[Original],Table8[Clean],,0,1),"Unknown")</f>
        <v>Delivered</v>
      </c>
      <c r="V149" t="str">
        <f>IF(ISNUMBER(Table1[[#This Row],[delivery_days]]),Table1[[#This Row],[delivery_days]],IFERROR(_xlfn.XLOOKUP(Table1[[#This Row],[delivery_days]],Table57[Original],Table57[Clean],,0,1),"Unknown"))</f>
        <v>Unknown</v>
      </c>
    </row>
    <row r="150" spans="1:23" x14ac:dyDescent="0.3">
      <c r="A150" t="s">
        <v>367</v>
      </c>
      <c r="B150" t="str">
        <f>IF(ISBLANK(Table1[[#This Row],[order_id]]),"",IF(LEFT(Table1[[#This Row],[order_id]],3)="ORD",Table1[[#This Row],[order_id]],"ORD-" &amp; Table1[[#This Row],[order_id]]))</f>
        <v>ORD-1148</v>
      </c>
      <c r="C150" t="s">
        <v>368</v>
      </c>
      <c r="D150" s="1">
        <f>IFERROR(DATEVALUE(Table1[[#This Row],[order_date]]),"")</f>
        <v>45372</v>
      </c>
      <c r="E150" t="s">
        <v>369</v>
      </c>
      <c r="F150" t="str">
        <f>IF(ISBLANK(Table1[[#This Row],[customer_name]]),"Unknown Customer",PROPER(SUBSTITUTE(Table1[[#This Row],[customer_name]],"Cust.","Customer")))</f>
        <v>Customer 148</v>
      </c>
      <c r="G150" t="s">
        <v>45</v>
      </c>
      <c r="H150" t="str">
        <f>IFERROR(_xlfn.XLOOKUP(Table1[[#This Row],[region]],Mappings!$C$3:$C$8,Mappings!$D$3:$D$8,,0,1),"Unknown")</f>
        <v>USA</v>
      </c>
      <c r="I150" t="s">
        <v>27</v>
      </c>
      <c r="J150" t="str">
        <f>IFERROR(_xlfn.XLOOKUP(Table1[[#This Row],[sales_channel]],Table4[Original],Table4[Clean],,0,1),"Unknown")</f>
        <v>Online</v>
      </c>
      <c r="K150" t="s">
        <v>102</v>
      </c>
      <c r="L150" t="str">
        <f>IFERROR(_xlfn.XLOOKUP(Table1[[#This Row],[product]],Table3[Original],Table3[Product_clean],,0,1),"Unknown")</f>
        <v>Phone</v>
      </c>
      <c r="M150" s="6">
        <v>3</v>
      </c>
      <c r="N150">
        <f>IF(ISNUMBER(Table1[[#This Row],[quantity]]),Table1[[#This Row],[quantity]],IFERROR(VLOOKUP(Table1[[#This Row],[quantity]],Table5[#All],2,FALSE),"Unknown"))</f>
        <v>3</v>
      </c>
      <c r="P150" t="str">
        <f>IFERROR(VALUE(SUBSTITUTE(SUBSTITUTE(SUBSTITUTE(Table1[[#This Row],[revenue]],"EUR",""),"$",""),".",",")),"")</f>
        <v/>
      </c>
      <c r="Q150" t="s">
        <v>55</v>
      </c>
      <c r="R150" t="str">
        <f>IF(OR(Table1[[#This Row],[currency]]="EUR",Table1[[#This Row],[currency]]="€"),"EUR",IF(OR(Table1[[#This Row],[currency]]="USD",Table1[[#This Row],[currency]]="$"),"USD","Unknown"))</f>
        <v>EUR</v>
      </c>
      <c r="S150" t="s">
        <v>47</v>
      </c>
      <c r="T150" t="str">
        <f>IFERROR(_xlfn.XLOOKUP(Table1[[#This Row],[order_status]],Table8[Original],Table8[Clean],,0,1),"Unknown")</f>
        <v>Returned</v>
      </c>
      <c r="U150">
        <v>2</v>
      </c>
      <c r="V150">
        <f>IF(ISNUMBER(Table1[[#This Row],[delivery_days]]),Table1[[#This Row],[delivery_days]],IFERROR(_xlfn.XLOOKUP(Table1[[#This Row],[delivery_days]],Table57[Original],Table57[Clean],,0,1),"Unknown"))</f>
        <v>2</v>
      </c>
      <c r="W150" t="s">
        <v>24</v>
      </c>
    </row>
    <row r="151" spans="1:23" x14ac:dyDescent="0.3">
      <c r="A151">
        <v>1149</v>
      </c>
      <c r="B151" t="str">
        <f>IF(ISBLANK(Table1[[#This Row],[order_id]]),"",IF(LEFT(Table1[[#This Row],[order_id]],3)="ORD",Table1[[#This Row],[order_id]],"ORD-" &amp; Table1[[#This Row],[order_id]]))</f>
        <v>ORD-1149</v>
      </c>
      <c r="D151" s="1" t="str">
        <f>IFERROR(DATEVALUE(Table1[[#This Row],[order_date]]),"")</f>
        <v/>
      </c>
      <c r="E151" t="s">
        <v>370</v>
      </c>
      <c r="F151" t="str">
        <f>IF(ISBLANK(Table1[[#This Row],[customer_name]]),"Unknown Customer",PROPER(SUBSTITUTE(Table1[[#This Row],[customer_name]],"Cust.","Customer")))</f>
        <v>Customer 149</v>
      </c>
      <c r="G151" t="s">
        <v>26</v>
      </c>
      <c r="H151" t="str">
        <f>IFERROR(_xlfn.XLOOKUP(Table1[[#This Row],[region]],Mappings!$C$3:$C$8,Mappings!$D$3:$D$8,,0,1),"Unknown")</f>
        <v>Asia</v>
      </c>
      <c r="I151" t="s">
        <v>78</v>
      </c>
      <c r="J151" t="str">
        <f>IFERROR(_xlfn.XLOOKUP(Table1[[#This Row],[sales_channel]],Table4[Original],Table4[Clean],,0,1),"Unknown")</f>
        <v>Mobile</v>
      </c>
      <c r="K151" t="s">
        <v>28</v>
      </c>
      <c r="L151" t="str">
        <f>IFERROR(_xlfn.XLOOKUP(Table1[[#This Row],[product]],Table3[Original],Table3[Product_clean],,0,1),"Unknown")</f>
        <v>Laptop</v>
      </c>
      <c r="M151" s="6">
        <v>2</v>
      </c>
      <c r="N151">
        <f>IF(ISNUMBER(Table1[[#This Row],[quantity]]),Table1[[#This Row],[quantity]],IFERROR(VLOOKUP(Table1[[#This Row],[quantity]],Table5[#All],2,FALSE),"Unknown"))</f>
        <v>2</v>
      </c>
      <c r="O151" t="s">
        <v>371</v>
      </c>
      <c r="P151">
        <f>IFERROR(VALUE(SUBSTITUTE(SUBSTITUTE(SUBSTITUTE(Table1[[#This Row],[revenue]],"EUR",""),"$",""),".",",")),"")</f>
        <v>1706.87</v>
      </c>
      <c r="Q151" t="s">
        <v>17</v>
      </c>
      <c r="R151" t="str">
        <f>IF(OR(Table1[[#This Row],[currency]]="EUR",Table1[[#This Row],[currency]]="€"),"EUR",IF(OR(Table1[[#This Row],[currency]]="USD",Table1[[#This Row],[currency]]="$"),"USD","Unknown"))</f>
        <v>EUR</v>
      </c>
      <c r="S151" t="s">
        <v>30</v>
      </c>
      <c r="T151" t="str">
        <f>IFERROR(_xlfn.XLOOKUP(Table1[[#This Row],[order_status]],Table8[Original],Table8[Clean],,0,1),"Unknown")</f>
        <v>Delivered</v>
      </c>
      <c r="U151">
        <v>3</v>
      </c>
      <c r="V151">
        <f>IF(ISNUMBER(Table1[[#This Row],[delivery_days]]),Table1[[#This Row],[delivery_days]],IFERROR(_xlfn.XLOOKUP(Table1[[#This Row],[delivery_days]],Table57[Original],Table57[Clean],,0,1),"Unknown"))</f>
        <v>3</v>
      </c>
    </row>
    <row r="152" spans="1:23" x14ac:dyDescent="0.3">
      <c r="A152" t="s">
        <v>372</v>
      </c>
      <c r="B152" t="str">
        <f>IF(ISBLANK(Table1[[#This Row],[order_id]]),"",IF(LEFT(Table1[[#This Row],[order_id]],3)="ORD",Table1[[#This Row],[order_id]],"ORD-" &amp; Table1[[#This Row],[order_id]]))</f>
        <v>ORD-1150</v>
      </c>
      <c r="C152" t="s">
        <v>373</v>
      </c>
      <c r="D152" s="1">
        <f>IFERROR(DATEVALUE(Table1[[#This Row],[order_date]]),"")</f>
        <v>45607</v>
      </c>
      <c r="E152" t="s">
        <v>374</v>
      </c>
      <c r="F152" t="str">
        <f>IF(ISBLANK(Table1[[#This Row],[customer_name]]),"Unknown Customer",PROPER(SUBSTITUTE(Table1[[#This Row],[customer_name]],"Cust.","Customer")))</f>
        <v>Customer 150</v>
      </c>
      <c r="H152" t="str">
        <f>IFERROR(_xlfn.XLOOKUP(Table1[[#This Row],[region]],Mappings!$C$3:$C$8,Mappings!$D$3:$D$8,,0,1),"Unknown")</f>
        <v>Unknown</v>
      </c>
      <c r="I152" t="s">
        <v>27</v>
      </c>
      <c r="J152" t="str">
        <f>IFERROR(_xlfn.XLOOKUP(Table1[[#This Row],[sales_channel]],Table4[Original],Table4[Clean],,0,1),"Unknown")</f>
        <v>Online</v>
      </c>
      <c r="K152" t="s">
        <v>41</v>
      </c>
      <c r="L152" t="str">
        <f>IFERROR(_xlfn.XLOOKUP(Table1[[#This Row],[product]],Table3[Original],Table3[Product_clean],,0,1),"Unknown")</f>
        <v>Phone</v>
      </c>
      <c r="M152" s="6"/>
      <c r="N152" t="str">
        <f>IF(ISNUMBER(Table1[[#This Row],[quantity]]),Table1[[#This Row],[quantity]],IFERROR(VLOOKUP(Table1[[#This Row],[quantity]],Table5[#All],2,FALSE),"Unknown"))</f>
        <v>Unknown</v>
      </c>
      <c r="O152" t="s">
        <v>375</v>
      </c>
      <c r="P152">
        <f>IFERROR(VALUE(SUBSTITUTE(SUBSTITUTE(SUBSTITUTE(Table1[[#This Row],[revenue]],"EUR",""),"$",""),".",",")),"")</f>
        <v>1283.5</v>
      </c>
      <c r="Q152" t="s">
        <v>22</v>
      </c>
      <c r="R152" t="str">
        <f>IF(OR(Table1[[#This Row],[currency]]="EUR",Table1[[#This Row],[currency]]="€"),"EUR",IF(OR(Table1[[#This Row],[currency]]="USD",Table1[[#This Row],[currency]]="$"),"USD","Unknown"))</f>
        <v>USD</v>
      </c>
      <c r="S152" t="s">
        <v>47</v>
      </c>
      <c r="T152" t="str">
        <f>IFERROR(_xlfn.XLOOKUP(Table1[[#This Row],[order_status]],Table8[Original],Table8[Clean],,0,1),"Unknown")</f>
        <v>Returned</v>
      </c>
      <c r="U152">
        <v>3</v>
      </c>
      <c r="V152">
        <f>IF(ISNUMBER(Table1[[#This Row],[delivery_days]]),Table1[[#This Row],[delivery_days]],IFERROR(_xlfn.XLOOKUP(Table1[[#This Row],[delivery_days]],Table57[Original],Table57[Clean],,0,1),"Unknown"))</f>
        <v>3</v>
      </c>
    </row>
    <row r="153" spans="1:23" x14ac:dyDescent="0.3">
      <c r="B153" t="str">
        <f>IF(ISBLANK(Table1[[#This Row],[order_id]]),"",IF(LEFT(Table1[[#This Row],[order_id]],3)="ORD",Table1[[#This Row],[order_id]],"ORD-" &amp; Table1[[#This Row],[order_id]]))</f>
        <v/>
      </c>
      <c r="D153" s="1" t="str">
        <f>IFERROR(DATEVALUE(Table1[[#This Row],[order_date]]),"")</f>
        <v/>
      </c>
      <c r="E153" t="s">
        <v>376</v>
      </c>
      <c r="F153" t="str">
        <f>IF(ISBLANK(Table1[[#This Row],[customer_name]]),"Unknown Customer",PROPER(SUBSTITUTE(Table1[[#This Row],[customer_name]],"Cust.","Customer")))</f>
        <v>Customer 151</v>
      </c>
      <c r="G153" t="s">
        <v>54</v>
      </c>
      <c r="H153" t="str">
        <f>IFERROR(_xlfn.XLOOKUP(Table1[[#This Row],[region]],Mappings!$C$3:$C$8,Mappings!$D$3:$D$8,,0,1),"Unknown")</f>
        <v>USA</v>
      </c>
      <c r="I153" t="s">
        <v>68</v>
      </c>
      <c r="J153" t="str">
        <f>IFERROR(_xlfn.XLOOKUP(Table1[[#This Row],[sales_channel]],Table4[Original],Table4[Clean],,0,1),"Unknown")</f>
        <v>Online</v>
      </c>
      <c r="K153" t="s">
        <v>102</v>
      </c>
      <c r="L153" t="str">
        <f>IFERROR(_xlfn.XLOOKUP(Table1[[#This Row],[product]],Table3[Original],Table3[Product_clean],,0,1),"Unknown")</f>
        <v>Phone</v>
      </c>
      <c r="M153" s="6">
        <v>1</v>
      </c>
      <c r="N153">
        <f>IF(ISNUMBER(Table1[[#This Row],[quantity]]),Table1[[#This Row],[quantity]],IFERROR(VLOOKUP(Table1[[#This Row],[quantity]],Table5[#All],2,FALSE),"Unknown"))</f>
        <v>1</v>
      </c>
      <c r="P153" t="str">
        <f>IFERROR(VALUE(SUBSTITUTE(SUBSTITUTE(SUBSTITUTE(Table1[[#This Row],[revenue]],"EUR",""),"$",""),".",",")),"")</f>
        <v/>
      </c>
      <c r="Q153" t="s">
        <v>17</v>
      </c>
      <c r="R153" t="str">
        <f>IF(OR(Table1[[#This Row],[currency]]="EUR",Table1[[#This Row],[currency]]="€"),"EUR",IF(OR(Table1[[#This Row],[currency]]="USD",Table1[[#This Row],[currency]]="$"),"USD","Unknown"))</f>
        <v>EUR</v>
      </c>
      <c r="S153" t="s">
        <v>35</v>
      </c>
      <c r="T153" t="str">
        <f>IFERROR(_xlfn.XLOOKUP(Table1[[#This Row],[order_status]],Table8[Original],Table8[Clean],,0,1),"Unknown")</f>
        <v>Returned</v>
      </c>
      <c r="U153">
        <v>5</v>
      </c>
      <c r="V153">
        <f>IF(ISNUMBER(Table1[[#This Row],[delivery_days]]),Table1[[#This Row],[delivery_days]],IFERROR(_xlfn.XLOOKUP(Table1[[#This Row],[delivery_days]],Table57[Original],Table57[Clean],,0,1),"Unknown"))</f>
        <v>5</v>
      </c>
    </row>
    <row r="154" spans="1:23" x14ac:dyDescent="0.3">
      <c r="A154" t="s">
        <v>377</v>
      </c>
      <c r="B154" t="str">
        <f>IF(ISBLANK(Table1[[#This Row],[order_id]]),"",IF(LEFT(Table1[[#This Row],[order_id]],3)="ORD",Table1[[#This Row],[order_id]],"ORD-" &amp; Table1[[#This Row],[order_id]]))</f>
        <v>ORD-1152</v>
      </c>
      <c r="C154" t="s">
        <v>315</v>
      </c>
      <c r="D154" s="1">
        <f>IFERROR(DATEVALUE(Table1[[#This Row],[order_date]]),"")</f>
        <v>45438</v>
      </c>
      <c r="E154" t="s">
        <v>378</v>
      </c>
      <c r="F154" t="str">
        <f>IF(ISBLANK(Table1[[#This Row],[customer_name]]),"Unknown Customer",PROPER(SUBSTITUTE(Table1[[#This Row],[customer_name]],"Cust.","Customer")))</f>
        <v>Customer 152</v>
      </c>
      <c r="H154" t="str">
        <f>IFERROR(_xlfn.XLOOKUP(Table1[[#This Row],[region]],Mappings!$C$3:$C$8,Mappings!$D$3:$D$8,,0,1),"Unknown")</f>
        <v>Unknown</v>
      </c>
      <c r="I154" t="s">
        <v>50</v>
      </c>
      <c r="J154" t="str">
        <f>IFERROR(_xlfn.XLOOKUP(Table1[[#This Row],[sales_channel]],Table4[Original],Table4[Clean],,0,1),"Unknown")</f>
        <v>Mobile</v>
      </c>
      <c r="L154" t="str">
        <f>IFERROR(_xlfn.XLOOKUP(Table1[[#This Row],[product]],Table3[Original],Table3[Product_clean],,0,1),"Unknown")</f>
        <v>Unknown</v>
      </c>
      <c r="M154" s="6" t="s">
        <v>83</v>
      </c>
      <c r="N154">
        <f>IF(ISNUMBER(Table1[[#This Row],[quantity]]),Table1[[#This Row],[quantity]],IFERROR(VLOOKUP(Table1[[#This Row],[quantity]],Table5[#All],2,FALSE),"Unknown"))</f>
        <v>2</v>
      </c>
      <c r="O154">
        <v>1633.24</v>
      </c>
      <c r="P154">
        <f>IFERROR(VALUE(SUBSTITUTE(SUBSTITUTE(SUBSTITUTE(Table1[[#This Row],[revenue]],"EUR",""),"$",""),".",",")),"")</f>
        <v>1633.24</v>
      </c>
      <c r="Q154" t="s">
        <v>55</v>
      </c>
      <c r="R154" t="str">
        <f>IF(OR(Table1[[#This Row],[currency]]="EUR",Table1[[#This Row],[currency]]="€"),"EUR",IF(OR(Table1[[#This Row],[currency]]="USD",Table1[[#This Row],[currency]]="$"),"USD","Unknown"))</f>
        <v>EUR</v>
      </c>
      <c r="S154" t="s">
        <v>30</v>
      </c>
      <c r="T154" t="str">
        <f>IFERROR(_xlfn.XLOOKUP(Table1[[#This Row],[order_status]],Table8[Original],Table8[Clean],,0,1),"Unknown")</f>
        <v>Delivered</v>
      </c>
      <c r="U154">
        <v>5</v>
      </c>
      <c r="V154">
        <f>IF(ISNUMBER(Table1[[#This Row],[delivery_days]]),Table1[[#This Row],[delivery_days]],IFERROR(_xlfn.XLOOKUP(Table1[[#This Row],[delivery_days]],Table57[Original],Table57[Clean],,0,1),"Unknown"))</f>
        <v>5</v>
      </c>
    </row>
    <row r="155" spans="1:23" x14ac:dyDescent="0.3">
      <c r="B155" t="str">
        <f>IF(ISBLANK(Table1[[#This Row],[order_id]]),"",IF(LEFT(Table1[[#This Row],[order_id]],3)="ORD",Table1[[#This Row],[order_id]],"ORD-" &amp; Table1[[#This Row],[order_id]]))</f>
        <v/>
      </c>
      <c r="C155" t="s">
        <v>379</v>
      </c>
      <c r="D155" s="1" t="str">
        <f>IFERROR(DATEVALUE(Table1[[#This Row],[order_date]]),"")</f>
        <v/>
      </c>
      <c r="E155" t="s">
        <v>380</v>
      </c>
      <c r="F155" t="str">
        <f>IF(ISBLANK(Table1[[#This Row],[customer_name]]),"Unknown Customer",PROPER(SUBSTITUTE(Table1[[#This Row],[customer_name]],"Cust.","Customer")))</f>
        <v>Customer 153</v>
      </c>
      <c r="G155" t="s">
        <v>32</v>
      </c>
      <c r="H155" t="str">
        <f>IFERROR(_xlfn.XLOOKUP(Table1[[#This Row],[region]],Mappings!$C$3:$C$8,Mappings!$D$3:$D$8,,0,1),"Unknown")</f>
        <v>Europe</v>
      </c>
      <c r="I155" t="s">
        <v>68</v>
      </c>
      <c r="J155" t="str">
        <f>IFERROR(_xlfn.XLOOKUP(Table1[[#This Row],[sales_channel]],Table4[Original],Table4[Clean],,0,1),"Unknown")</f>
        <v>Online</v>
      </c>
      <c r="K155" t="s">
        <v>41</v>
      </c>
      <c r="L155" t="str">
        <f>IFERROR(_xlfn.XLOOKUP(Table1[[#This Row],[product]],Table3[Original],Table3[Product_clean],,0,1),"Unknown")</f>
        <v>Phone</v>
      </c>
      <c r="M155" s="6"/>
      <c r="N155" t="str">
        <f>IF(ISNUMBER(Table1[[#This Row],[quantity]]),Table1[[#This Row],[quantity]],IFERROR(VLOOKUP(Table1[[#This Row],[quantity]],Table5[#All],2,FALSE),"Unknown"))</f>
        <v>Unknown</v>
      </c>
      <c r="O155" t="s">
        <v>381</v>
      </c>
      <c r="P155">
        <f>IFERROR(VALUE(SUBSTITUTE(SUBSTITUTE(SUBSTITUTE(Table1[[#This Row],[revenue]],"EUR",""),"$",""),".",",")),"")</f>
        <v>1707.36</v>
      </c>
      <c r="Q155" t="s">
        <v>55</v>
      </c>
      <c r="R155" t="str">
        <f>IF(OR(Table1[[#This Row],[currency]]="EUR",Table1[[#This Row],[currency]]="€"),"EUR",IF(OR(Table1[[#This Row],[currency]]="USD",Table1[[#This Row],[currency]]="$"),"USD","Unknown"))</f>
        <v>EUR</v>
      </c>
      <c r="S155" t="s">
        <v>18</v>
      </c>
      <c r="T155" t="str">
        <f>IFERROR(_xlfn.XLOOKUP(Table1[[#This Row],[order_status]],Table8[Original],Table8[Clean],,0,1),"Unknown")</f>
        <v>Pending</v>
      </c>
      <c r="V155" t="str">
        <f>IF(ISNUMBER(Table1[[#This Row],[delivery_days]]),Table1[[#This Row],[delivery_days]],IFERROR(_xlfn.XLOOKUP(Table1[[#This Row],[delivery_days]],Table57[Original],Table57[Clean],,0,1),"Unknown"))</f>
        <v>Unknown</v>
      </c>
    </row>
    <row r="156" spans="1:23" x14ac:dyDescent="0.3">
      <c r="A156" t="s">
        <v>382</v>
      </c>
      <c r="B156" t="str">
        <f>IF(ISBLANK(Table1[[#This Row],[order_id]]),"",IF(LEFT(Table1[[#This Row],[order_id]],3)="ORD",Table1[[#This Row],[order_id]],"ORD-" &amp; Table1[[#This Row],[order_id]]))</f>
        <v>ORD-1154</v>
      </c>
      <c r="C156" t="s">
        <v>383</v>
      </c>
      <c r="D156" s="1">
        <f>IFERROR(DATEVALUE(Table1[[#This Row],[order_date]]),"")</f>
        <v>45446</v>
      </c>
      <c r="E156" t="s">
        <v>384</v>
      </c>
      <c r="F156" t="str">
        <f>IF(ISBLANK(Table1[[#This Row],[customer_name]]),"Unknown Customer",PROPER(SUBSTITUTE(Table1[[#This Row],[customer_name]],"Cust.","Customer")))</f>
        <v>Customer 154</v>
      </c>
      <c r="H156" t="str">
        <f>IFERROR(_xlfn.XLOOKUP(Table1[[#This Row],[region]],Mappings!$C$3:$C$8,Mappings!$D$3:$D$8,,0,1),"Unknown")</f>
        <v>Unknown</v>
      </c>
      <c r="I156" t="s">
        <v>27</v>
      </c>
      <c r="J156" t="str">
        <f>IFERROR(_xlfn.XLOOKUP(Table1[[#This Row],[sales_channel]],Table4[Original],Table4[Clean],,0,1),"Unknown")</f>
        <v>Online</v>
      </c>
      <c r="K156" t="s">
        <v>28</v>
      </c>
      <c r="L156" t="str">
        <f>IFERROR(_xlfn.XLOOKUP(Table1[[#This Row],[product]],Table3[Original],Table3[Product_clean],,0,1),"Unknown")</f>
        <v>Laptop</v>
      </c>
      <c r="M156" s="6"/>
      <c r="N156" t="str">
        <f>IF(ISNUMBER(Table1[[#This Row],[quantity]]),Table1[[#This Row],[quantity]],IFERROR(VLOOKUP(Table1[[#This Row],[quantity]],Table5[#All],2,FALSE),"Unknown"))</f>
        <v>Unknown</v>
      </c>
      <c r="P156" t="str">
        <f>IFERROR(VALUE(SUBSTITUTE(SUBSTITUTE(SUBSTITUTE(Table1[[#This Row],[revenue]],"EUR",""),"$",""),".",",")),"")</f>
        <v/>
      </c>
      <c r="R156" t="str">
        <f>IF(OR(Table1[[#This Row],[currency]]="EUR",Table1[[#This Row],[currency]]="€"),"EUR",IF(OR(Table1[[#This Row],[currency]]="USD",Table1[[#This Row],[currency]]="$"),"USD","Unknown"))</f>
        <v>Unknown</v>
      </c>
      <c r="S156" t="s">
        <v>47</v>
      </c>
      <c r="T156" t="str">
        <f>IFERROR(_xlfn.XLOOKUP(Table1[[#This Row],[order_status]],Table8[Original],Table8[Clean],,0,1),"Unknown")</f>
        <v>Returned</v>
      </c>
      <c r="U156" t="s">
        <v>36</v>
      </c>
      <c r="V156">
        <f>IF(ISNUMBER(Table1[[#This Row],[delivery_days]]),Table1[[#This Row],[delivery_days]],IFERROR(_xlfn.XLOOKUP(Table1[[#This Row],[delivery_days]],Table57[Original],Table57[Clean],,0,1),"Unknown"))</f>
        <v>5</v>
      </c>
    </row>
    <row r="157" spans="1:23" x14ac:dyDescent="0.3">
      <c r="A157" t="s">
        <v>385</v>
      </c>
      <c r="B157" t="str">
        <f>IF(ISBLANK(Table1[[#This Row],[order_id]]),"",IF(LEFT(Table1[[#This Row],[order_id]],3)="ORD",Table1[[#This Row],[order_id]],"ORD-" &amp; Table1[[#This Row],[order_id]]))</f>
        <v>ORD-1155</v>
      </c>
      <c r="D157" s="1" t="str">
        <f>IFERROR(DATEVALUE(Table1[[#This Row],[order_date]]),"")</f>
        <v/>
      </c>
      <c r="E157" t="s">
        <v>386</v>
      </c>
      <c r="F157" t="str">
        <f>IF(ISBLANK(Table1[[#This Row],[customer_name]]),"Unknown Customer",PROPER(SUBSTITUTE(Table1[[#This Row],[customer_name]],"Cust.","Customer")))</f>
        <v>Customer 155</v>
      </c>
      <c r="G157" t="s">
        <v>45</v>
      </c>
      <c r="H157" t="str">
        <f>IFERROR(_xlfn.XLOOKUP(Table1[[#This Row],[region]],Mappings!$C$3:$C$8,Mappings!$D$3:$D$8,,0,1),"Unknown")</f>
        <v>USA</v>
      </c>
      <c r="I157" t="s">
        <v>68</v>
      </c>
      <c r="J157" t="str">
        <f>IFERROR(_xlfn.XLOOKUP(Table1[[#This Row],[sales_channel]],Table4[Original],Table4[Clean],,0,1),"Unknown")</f>
        <v>Online</v>
      </c>
      <c r="K157" t="s">
        <v>28</v>
      </c>
      <c r="L157" t="str">
        <f>IFERROR(_xlfn.XLOOKUP(Table1[[#This Row],[product]],Table3[Original],Table3[Product_clean],,0,1),"Unknown")</f>
        <v>Laptop</v>
      </c>
      <c r="M157" s="6">
        <v>3</v>
      </c>
      <c r="N157">
        <f>IF(ISNUMBER(Table1[[#This Row],[quantity]]),Table1[[#This Row],[quantity]],IFERROR(VLOOKUP(Table1[[#This Row],[quantity]],Table5[#All],2,FALSE),"Unknown"))</f>
        <v>3</v>
      </c>
      <c r="O157" t="s">
        <v>387</v>
      </c>
      <c r="P157">
        <f>IFERROR(VALUE(SUBSTITUTE(SUBSTITUTE(SUBSTITUTE(Table1[[#This Row],[revenue]],"EUR",""),"$",""),".",",")),"")</f>
        <v>164.8</v>
      </c>
      <c r="R157" t="str">
        <f>IF(OR(Table1[[#This Row],[currency]]="EUR",Table1[[#This Row],[currency]]="€"),"EUR",IF(OR(Table1[[#This Row],[currency]]="USD",Table1[[#This Row],[currency]]="$"),"USD","Unknown"))</f>
        <v>Unknown</v>
      </c>
      <c r="S157" t="s">
        <v>35</v>
      </c>
      <c r="T157" t="str">
        <f>IFERROR(_xlfn.XLOOKUP(Table1[[#This Row],[order_status]],Table8[Original],Table8[Clean],,0,1),"Unknown")</f>
        <v>Returned</v>
      </c>
      <c r="U157">
        <v>2</v>
      </c>
      <c r="V157">
        <f>IF(ISNUMBER(Table1[[#This Row],[delivery_days]]),Table1[[#This Row],[delivery_days]],IFERROR(_xlfn.XLOOKUP(Table1[[#This Row],[delivery_days]],Table57[Original],Table57[Clean],,0,1),"Unknown"))</f>
        <v>2</v>
      </c>
    </row>
    <row r="158" spans="1:23" x14ac:dyDescent="0.3">
      <c r="B158" t="str">
        <f>IF(ISBLANK(Table1[[#This Row],[order_id]]),"",IF(LEFT(Table1[[#This Row],[order_id]],3)="ORD",Table1[[#This Row],[order_id]],"ORD-" &amp; Table1[[#This Row],[order_id]]))</f>
        <v/>
      </c>
      <c r="C158" t="s">
        <v>373</v>
      </c>
      <c r="D158" s="1">
        <f>IFERROR(DATEVALUE(Table1[[#This Row],[order_date]]),"")</f>
        <v>45607</v>
      </c>
      <c r="F158" t="str">
        <f>IF(ISBLANK(Table1[[#This Row],[customer_name]]),"Unknown Customer",PROPER(SUBSTITUTE(Table1[[#This Row],[customer_name]],"Cust.","Customer")))</f>
        <v>Unknown Customer</v>
      </c>
      <c r="H158" t="str">
        <f>IFERROR(_xlfn.XLOOKUP(Table1[[#This Row],[region]],Mappings!$C$3:$C$8,Mappings!$D$3:$D$8,,0,1),"Unknown")</f>
        <v>Unknown</v>
      </c>
      <c r="I158" t="s">
        <v>68</v>
      </c>
      <c r="J158" t="str">
        <f>IFERROR(_xlfn.XLOOKUP(Table1[[#This Row],[sales_channel]],Table4[Original],Table4[Clean],,0,1),"Unknown")</f>
        <v>Online</v>
      </c>
      <c r="K158" t="s">
        <v>102</v>
      </c>
      <c r="L158" t="str">
        <f>IFERROR(_xlfn.XLOOKUP(Table1[[#This Row],[product]],Table3[Original],Table3[Product_clean],,0,1),"Unknown")</f>
        <v>Phone</v>
      </c>
      <c r="M158" s="6" t="s">
        <v>83</v>
      </c>
      <c r="N158">
        <f>IF(ISNUMBER(Table1[[#This Row],[quantity]]),Table1[[#This Row],[quantity]],IFERROR(VLOOKUP(Table1[[#This Row],[quantity]],Table5[#All],2,FALSE),"Unknown"))</f>
        <v>2</v>
      </c>
      <c r="O158" t="s">
        <v>388</v>
      </c>
      <c r="P158">
        <f>IFERROR(VALUE(SUBSTITUTE(SUBSTITUTE(SUBSTITUTE(Table1[[#This Row],[revenue]],"EUR",""),"$",""),".",",")),"")</f>
        <v>2230.9899999999998</v>
      </c>
      <c r="Q158" t="s">
        <v>17</v>
      </c>
      <c r="R158" t="str">
        <f>IF(OR(Table1[[#This Row],[currency]]="EUR",Table1[[#This Row],[currency]]="€"),"EUR",IF(OR(Table1[[#This Row],[currency]]="USD",Table1[[#This Row],[currency]]="$"),"USD","Unknown"))</f>
        <v>EUR</v>
      </c>
      <c r="S158" t="s">
        <v>35</v>
      </c>
      <c r="T158" t="str">
        <f>IFERROR(_xlfn.XLOOKUP(Table1[[#This Row],[order_status]],Table8[Original],Table8[Clean],,0,1),"Unknown")</f>
        <v>Returned</v>
      </c>
      <c r="U158">
        <v>3</v>
      </c>
      <c r="V158">
        <f>IF(ISNUMBER(Table1[[#This Row],[delivery_days]]),Table1[[#This Row],[delivery_days]],IFERROR(_xlfn.XLOOKUP(Table1[[#This Row],[delivery_days]],Table57[Original],Table57[Clean],,0,1),"Unknown"))</f>
        <v>3</v>
      </c>
    </row>
    <row r="159" spans="1:23" x14ac:dyDescent="0.3">
      <c r="B159" t="str">
        <f>IF(ISBLANK(Table1[[#This Row],[order_id]]),"",IF(LEFT(Table1[[#This Row],[order_id]],3)="ORD",Table1[[#This Row],[order_id]],"ORD-" &amp; Table1[[#This Row],[order_id]]))</f>
        <v/>
      </c>
      <c r="D159" s="1" t="str">
        <f>IFERROR(DATEVALUE(Table1[[#This Row],[order_date]]),"")</f>
        <v/>
      </c>
      <c r="E159" t="s">
        <v>389</v>
      </c>
      <c r="F159" t="str">
        <f>IF(ISBLANK(Table1[[#This Row],[customer_name]]),"Unknown Customer",PROPER(SUBSTITUTE(Table1[[#This Row],[customer_name]],"Cust.","Customer")))</f>
        <v>Customer 157</v>
      </c>
      <c r="H159" t="str">
        <f>IFERROR(_xlfn.XLOOKUP(Table1[[#This Row],[region]],Mappings!$C$3:$C$8,Mappings!$D$3:$D$8,,0,1),"Unknown")</f>
        <v>Unknown</v>
      </c>
      <c r="I159" t="s">
        <v>68</v>
      </c>
      <c r="J159" t="str">
        <f>IFERROR(_xlfn.XLOOKUP(Table1[[#This Row],[sales_channel]],Table4[Original],Table4[Clean],,0,1),"Unknown")</f>
        <v>Online</v>
      </c>
      <c r="K159" t="s">
        <v>33</v>
      </c>
      <c r="L159" t="str">
        <f>IFERROR(_xlfn.XLOOKUP(Table1[[#This Row],[product]],Table3[Original],Table3[Product_clean],,0,1),"Unknown")</f>
        <v>Tablet</v>
      </c>
      <c r="M159" s="6">
        <v>2</v>
      </c>
      <c r="N159">
        <f>IF(ISNUMBER(Table1[[#This Row],[quantity]]),Table1[[#This Row],[quantity]],IFERROR(VLOOKUP(Table1[[#This Row],[quantity]],Table5[#All],2,FALSE),"Unknown"))</f>
        <v>2</v>
      </c>
      <c r="O159">
        <v>1771.92</v>
      </c>
      <c r="P159">
        <f>IFERROR(VALUE(SUBSTITUTE(SUBSTITUTE(SUBSTITUTE(Table1[[#This Row],[revenue]],"EUR",""),"$",""),".",",")),"")</f>
        <v>1771.92</v>
      </c>
      <c r="Q159" t="s">
        <v>17</v>
      </c>
      <c r="R159" t="str">
        <f>IF(OR(Table1[[#This Row],[currency]]="EUR",Table1[[#This Row],[currency]]="€"),"EUR",IF(OR(Table1[[#This Row],[currency]]="USD",Table1[[#This Row],[currency]]="$"),"USD","Unknown"))</f>
        <v>EUR</v>
      </c>
      <c r="S159" t="s">
        <v>18</v>
      </c>
      <c r="T159" t="str">
        <f>IFERROR(_xlfn.XLOOKUP(Table1[[#This Row],[order_status]],Table8[Original],Table8[Clean],,0,1),"Unknown")</f>
        <v>Pending</v>
      </c>
      <c r="U159">
        <v>5</v>
      </c>
      <c r="V159">
        <f>IF(ISNUMBER(Table1[[#This Row],[delivery_days]]),Table1[[#This Row],[delivery_days]],IFERROR(_xlfn.XLOOKUP(Table1[[#This Row],[delivery_days]],Table57[Original],Table57[Clean],,0,1),"Unknown"))</f>
        <v>5</v>
      </c>
      <c r="W159" t="s">
        <v>37</v>
      </c>
    </row>
    <row r="160" spans="1:23" x14ac:dyDescent="0.3">
      <c r="A160">
        <v>1158</v>
      </c>
      <c r="B160" t="str">
        <f>IF(ISBLANK(Table1[[#This Row],[order_id]]),"",IF(LEFT(Table1[[#This Row],[order_id]],3)="ORD",Table1[[#This Row],[order_id]],"ORD-" &amp; Table1[[#This Row],[order_id]]))</f>
        <v>ORD-1158</v>
      </c>
      <c r="C160" t="s">
        <v>390</v>
      </c>
      <c r="D160" s="1">
        <f>IFERROR(DATEVALUE(Table1[[#This Row],[order_date]]),"")</f>
        <v>45560</v>
      </c>
      <c r="E160" t="s">
        <v>391</v>
      </c>
      <c r="F160" t="str">
        <f>IF(ISBLANK(Table1[[#This Row],[customer_name]]),"Unknown Customer",PROPER(SUBSTITUTE(Table1[[#This Row],[customer_name]],"Cust.","Customer")))</f>
        <v>Customer 158</v>
      </c>
      <c r="G160" t="s">
        <v>45</v>
      </c>
      <c r="H160" t="str">
        <f>IFERROR(_xlfn.XLOOKUP(Table1[[#This Row],[region]],Mappings!$C$3:$C$8,Mappings!$D$3:$D$8,,0,1),"Unknown")</f>
        <v>USA</v>
      </c>
      <c r="J160" t="str">
        <f>IFERROR(_xlfn.XLOOKUP(Table1[[#This Row],[sales_channel]],Table4[Original],Table4[Clean],,0,1),"Unknown")</f>
        <v>Unknown</v>
      </c>
      <c r="K160" t="s">
        <v>51</v>
      </c>
      <c r="L160" t="str">
        <f>IFERROR(_xlfn.XLOOKUP(Table1[[#This Row],[product]],Table3[Original],Table3[Product_clean],,0,1),"Unknown")</f>
        <v>Laptop</v>
      </c>
      <c r="M160" s="6">
        <v>2</v>
      </c>
      <c r="N160">
        <f>IF(ISNUMBER(Table1[[#This Row],[quantity]]),Table1[[#This Row],[quantity]],IFERROR(VLOOKUP(Table1[[#This Row],[quantity]],Table5[#All],2,FALSE),"Unknown"))</f>
        <v>2</v>
      </c>
      <c r="P160" t="str">
        <f>IFERROR(VALUE(SUBSTITUTE(SUBSTITUTE(SUBSTITUTE(Table1[[#This Row],[revenue]],"EUR",""),"$",""),".",",")),"")</f>
        <v/>
      </c>
      <c r="Q160" t="s">
        <v>17</v>
      </c>
      <c r="R160" t="str">
        <f>IF(OR(Table1[[#This Row],[currency]]="EUR",Table1[[#This Row],[currency]]="€"),"EUR",IF(OR(Table1[[#This Row],[currency]]="USD",Table1[[#This Row],[currency]]="$"),"USD","Unknown"))</f>
        <v>EUR</v>
      </c>
      <c r="S160" t="s">
        <v>47</v>
      </c>
      <c r="T160" t="str">
        <f>IFERROR(_xlfn.XLOOKUP(Table1[[#This Row],[order_status]],Table8[Original],Table8[Clean],,0,1),"Unknown")</f>
        <v>Returned</v>
      </c>
      <c r="U160">
        <v>3</v>
      </c>
      <c r="V160">
        <f>IF(ISNUMBER(Table1[[#This Row],[delivery_days]]),Table1[[#This Row],[delivery_days]],IFERROR(_xlfn.XLOOKUP(Table1[[#This Row],[delivery_days]],Table57[Original],Table57[Clean],,0,1),"Unknown"))</f>
        <v>3</v>
      </c>
    </row>
    <row r="161" spans="1:23" x14ac:dyDescent="0.3">
      <c r="A161" t="s">
        <v>392</v>
      </c>
      <c r="B161" t="str">
        <f>IF(ISBLANK(Table1[[#This Row],[order_id]]),"",IF(LEFT(Table1[[#This Row],[order_id]],3)="ORD",Table1[[#This Row],[order_id]],"ORD-" &amp; Table1[[#This Row],[order_id]]))</f>
        <v>ORD-1159</v>
      </c>
      <c r="D161" s="1" t="str">
        <f>IFERROR(DATEVALUE(Table1[[#This Row],[order_date]]),"")</f>
        <v/>
      </c>
      <c r="E161" t="s">
        <v>393</v>
      </c>
      <c r="F161" t="str">
        <f>IF(ISBLANK(Table1[[#This Row],[customer_name]]),"Unknown Customer",PROPER(SUBSTITUTE(Table1[[#This Row],[customer_name]],"Cust.","Customer")))</f>
        <v>Customer 159</v>
      </c>
      <c r="H161" t="str">
        <f>IFERROR(_xlfn.XLOOKUP(Table1[[#This Row],[region]],Mappings!$C$3:$C$8,Mappings!$D$3:$D$8,,0,1),"Unknown")</f>
        <v>Unknown</v>
      </c>
      <c r="I161" t="s">
        <v>27</v>
      </c>
      <c r="J161" t="str">
        <f>IFERROR(_xlfn.XLOOKUP(Table1[[#This Row],[sales_channel]],Table4[Original],Table4[Clean],,0,1),"Unknown")</f>
        <v>Online</v>
      </c>
      <c r="K161" t="s">
        <v>33</v>
      </c>
      <c r="L161" t="str">
        <f>IFERROR(_xlfn.XLOOKUP(Table1[[#This Row],[product]],Table3[Original],Table3[Product_clean],,0,1),"Unknown")</f>
        <v>Tablet</v>
      </c>
      <c r="M161" s="6">
        <v>2</v>
      </c>
      <c r="N161">
        <f>IF(ISNUMBER(Table1[[#This Row],[quantity]]),Table1[[#This Row],[quantity]],IFERROR(VLOOKUP(Table1[[#This Row],[quantity]],Table5[#All],2,FALSE),"Unknown"))</f>
        <v>2</v>
      </c>
      <c r="O161" t="s">
        <v>394</v>
      </c>
      <c r="P161">
        <f>IFERROR(VALUE(SUBSTITUTE(SUBSTITUTE(SUBSTITUTE(Table1[[#This Row],[revenue]],"EUR",""),"$",""),".",",")),"")</f>
        <v>1268.23</v>
      </c>
      <c r="R161" t="str">
        <f>IF(OR(Table1[[#This Row],[currency]]="EUR",Table1[[#This Row],[currency]]="€"),"EUR",IF(OR(Table1[[#This Row],[currency]]="USD",Table1[[#This Row],[currency]]="$"),"USD","Unknown"))</f>
        <v>Unknown</v>
      </c>
      <c r="S161" t="s">
        <v>35</v>
      </c>
      <c r="T161" t="str">
        <f>IFERROR(_xlfn.XLOOKUP(Table1[[#This Row],[order_status]],Table8[Original],Table8[Clean],,0,1),"Unknown")</f>
        <v>Returned</v>
      </c>
      <c r="V161" t="str">
        <f>IF(ISNUMBER(Table1[[#This Row],[delivery_days]]),Table1[[#This Row],[delivery_days]],IFERROR(_xlfn.XLOOKUP(Table1[[#This Row],[delivery_days]],Table57[Original],Table57[Clean],,0,1),"Unknown"))</f>
        <v>Unknown</v>
      </c>
    </row>
    <row r="162" spans="1:23" x14ac:dyDescent="0.3">
      <c r="A162" t="s">
        <v>395</v>
      </c>
      <c r="B162" t="str">
        <f>IF(ISBLANK(Table1[[#This Row],[order_id]]),"",IF(LEFT(Table1[[#This Row],[order_id]],3)="ORD",Table1[[#This Row],[order_id]],"ORD-" &amp; Table1[[#This Row],[order_id]]))</f>
        <v>ORD-1160</v>
      </c>
      <c r="C162" t="s">
        <v>396</v>
      </c>
      <c r="D162" s="1" t="str">
        <f>IFERROR(DATEVALUE(Table1[[#This Row],[order_date]]),"")</f>
        <v/>
      </c>
      <c r="E162" t="s">
        <v>397</v>
      </c>
      <c r="F162" t="str">
        <f>IF(ISBLANK(Table1[[#This Row],[customer_name]]),"Unknown Customer",PROPER(SUBSTITUTE(Table1[[#This Row],[customer_name]],"Cust.","Customer")))</f>
        <v>Customer 160</v>
      </c>
      <c r="H162" t="str">
        <f>IFERROR(_xlfn.XLOOKUP(Table1[[#This Row],[region]],Mappings!$C$3:$C$8,Mappings!$D$3:$D$8,,0,1),"Unknown")</f>
        <v>Unknown</v>
      </c>
      <c r="J162" t="str">
        <f>IFERROR(_xlfn.XLOOKUP(Table1[[#This Row],[sales_channel]],Table4[Original],Table4[Clean],,0,1),"Unknown")</f>
        <v>Unknown</v>
      </c>
      <c r="K162" t="s">
        <v>15</v>
      </c>
      <c r="L162" t="str">
        <f>IFERROR(_xlfn.XLOOKUP(Table1[[#This Row],[product]],Table3[Original],Table3[Product_clean],,0,1),"Unknown")</f>
        <v>Tablet</v>
      </c>
      <c r="M162" s="6">
        <v>3</v>
      </c>
      <c r="N162">
        <f>IF(ISNUMBER(Table1[[#This Row],[quantity]]),Table1[[#This Row],[quantity]],IFERROR(VLOOKUP(Table1[[#This Row],[quantity]],Table5[#All],2,FALSE),"Unknown"))</f>
        <v>3</v>
      </c>
      <c r="O162" t="s">
        <v>398</v>
      </c>
      <c r="P162">
        <f>IFERROR(VALUE(SUBSTITUTE(SUBSTITUTE(SUBSTITUTE(Table1[[#This Row],[revenue]],"EUR",""),"$",""),".",",")),"")</f>
        <v>1161.6300000000001</v>
      </c>
      <c r="R162" t="str">
        <f>IF(OR(Table1[[#This Row],[currency]]="EUR",Table1[[#This Row],[currency]]="€"),"EUR",IF(OR(Table1[[#This Row],[currency]]="USD",Table1[[#This Row],[currency]]="$"),"USD","Unknown"))</f>
        <v>Unknown</v>
      </c>
      <c r="S162" t="s">
        <v>47</v>
      </c>
      <c r="T162" t="str">
        <f>IFERROR(_xlfn.XLOOKUP(Table1[[#This Row],[order_status]],Table8[Original],Table8[Clean],,0,1),"Unknown")</f>
        <v>Returned</v>
      </c>
      <c r="U162">
        <v>2</v>
      </c>
      <c r="V162">
        <f>IF(ISNUMBER(Table1[[#This Row],[delivery_days]]),Table1[[#This Row],[delivery_days]],IFERROR(_xlfn.XLOOKUP(Table1[[#This Row],[delivery_days]],Table57[Original],Table57[Clean],,0,1),"Unknown"))</f>
        <v>2</v>
      </c>
      <c r="W162" t="s">
        <v>37</v>
      </c>
    </row>
    <row r="163" spans="1:23" x14ac:dyDescent="0.3">
      <c r="A163" t="s">
        <v>399</v>
      </c>
      <c r="B163" t="str">
        <f>IF(ISBLANK(Table1[[#This Row],[order_id]]),"",IF(LEFT(Table1[[#This Row],[order_id]],3)="ORD",Table1[[#This Row],[order_id]],"ORD-" &amp; Table1[[#This Row],[order_id]]))</f>
        <v>ORD-1161</v>
      </c>
      <c r="C163" t="s">
        <v>400</v>
      </c>
      <c r="D163" s="1" t="str">
        <f>IFERROR(DATEVALUE(Table1[[#This Row],[order_date]]),"")</f>
        <v/>
      </c>
      <c r="E163" t="s">
        <v>401</v>
      </c>
      <c r="F163" t="str">
        <f>IF(ISBLANK(Table1[[#This Row],[customer_name]]),"Unknown Customer",PROPER(SUBSTITUTE(Table1[[#This Row],[customer_name]],"Cust.","Customer")))</f>
        <v>Customer 161</v>
      </c>
      <c r="H163" t="str">
        <f>IFERROR(_xlfn.XLOOKUP(Table1[[#This Row],[region]],Mappings!$C$3:$C$8,Mappings!$D$3:$D$8,,0,1),"Unknown")</f>
        <v>Unknown</v>
      </c>
      <c r="J163" t="str">
        <f>IFERROR(_xlfn.XLOOKUP(Table1[[#This Row],[sales_channel]],Table4[Original],Table4[Clean],,0,1),"Unknown")</f>
        <v>Unknown</v>
      </c>
      <c r="K163" t="s">
        <v>41</v>
      </c>
      <c r="L163" t="str">
        <f>IFERROR(_xlfn.XLOOKUP(Table1[[#This Row],[product]],Table3[Original],Table3[Product_clean],,0,1),"Unknown")</f>
        <v>Phone</v>
      </c>
      <c r="M163" s="6">
        <v>3</v>
      </c>
      <c r="N163">
        <f>IF(ISNUMBER(Table1[[#This Row],[quantity]]),Table1[[#This Row],[quantity]],IFERROR(VLOOKUP(Table1[[#This Row],[quantity]],Table5[#All],2,FALSE),"Unknown"))</f>
        <v>3</v>
      </c>
      <c r="O163" t="s">
        <v>402</v>
      </c>
      <c r="P163">
        <f>IFERROR(VALUE(SUBSTITUTE(SUBSTITUTE(SUBSTITUTE(Table1[[#This Row],[revenue]],"EUR",""),"$",""),".",",")),"")</f>
        <v>1696.36</v>
      </c>
      <c r="Q163" t="s">
        <v>22</v>
      </c>
      <c r="R163" t="str">
        <f>IF(OR(Table1[[#This Row],[currency]]="EUR",Table1[[#This Row],[currency]]="€"),"EUR",IF(OR(Table1[[#This Row],[currency]]="USD",Table1[[#This Row],[currency]]="$"),"USD","Unknown"))</f>
        <v>USD</v>
      </c>
      <c r="S163" t="s">
        <v>35</v>
      </c>
      <c r="T163" t="str">
        <f>IFERROR(_xlfn.XLOOKUP(Table1[[#This Row],[order_status]],Table8[Original],Table8[Clean],,0,1),"Unknown")</f>
        <v>Returned</v>
      </c>
      <c r="U163" t="s">
        <v>36</v>
      </c>
      <c r="V163">
        <f>IF(ISNUMBER(Table1[[#This Row],[delivery_days]]),Table1[[#This Row],[delivery_days]],IFERROR(_xlfn.XLOOKUP(Table1[[#This Row],[delivery_days]],Table57[Original],Table57[Clean],,0,1),"Unknown"))</f>
        <v>5</v>
      </c>
      <c r="W163" t="s">
        <v>24</v>
      </c>
    </row>
    <row r="164" spans="1:23" x14ac:dyDescent="0.3">
      <c r="A164" t="s">
        <v>403</v>
      </c>
      <c r="B164" t="str">
        <f>IF(ISBLANK(Table1[[#This Row],[order_id]]),"",IF(LEFT(Table1[[#This Row],[order_id]],3)="ORD",Table1[[#This Row],[order_id]],"ORD-" &amp; Table1[[#This Row],[order_id]]))</f>
        <v>ORD-1162</v>
      </c>
      <c r="C164" t="s">
        <v>404</v>
      </c>
      <c r="D164" s="1" t="str">
        <f>IFERROR(DATEVALUE(Table1[[#This Row],[order_date]]),"")</f>
        <v/>
      </c>
      <c r="E164" t="s">
        <v>405</v>
      </c>
      <c r="F164" t="str">
        <f>IF(ISBLANK(Table1[[#This Row],[customer_name]]),"Unknown Customer",PROPER(SUBSTITUTE(Table1[[#This Row],[customer_name]],"Cust.","Customer")))</f>
        <v>Customer 162</v>
      </c>
      <c r="G164" t="s">
        <v>26</v>
      </c>
      <c r="H164" t="str">
        <f>IFERROR(_xlfn.XLOOKUP(Table1[[#This Row],[region]],Mappings!$C$3:$C$8,Mappings!$D$3:$D$8,,0,1),"Unknown")</f>
        <v>Asia</v>
      </c>
      <c r="I164" t="s">
        <v>14</v>
      </c>
      <c r="J164" t="str">
        <f>IFERROR(_xlfn.XLOOKUP(Table1[[#This Row],[sales_channel]],Table4[Original],Table4[Clean],,0,1),"Unknown")</f>
        <v>Online</v>
      </c>
      <c r="K164" t="s">
        <v>102</v>
      </c>
      <c r="L164" t="str">
        <f>IFERROR(_xlfn.XLOOKUP(Table1[[#This Row],[product]],Table3[Original],Table3[Product_clean],,0,1),"Unknown")</f>
        <v>Phone</v>
      </c>
      <c r="M164" s="6">
        <v>1</v>
      </c>
      <c r="N164">
        <f>IF(ISNUMBER(Table1[[#This Row],[quantity]]),Table1[[#This Row],[quantity]],IFERROR(VLOOKUP(Table1[[#This Row],[quantity]],Table5[#All],2,FALSE),"Unknown"))</f>
        <v>1</v>
      </c>
      <c r="P164" t="str">
        <f>IFERROR(VALUE(SUBSTITUTE(SUBSTITUTE(SUBSTITUTE(Table1[[#This Row],[revenue]],"EUR",""),"$",""),".",",")),"")</f>
        <v/>
      </c>
      <c r="Q164" t="s">
        <v>55</v>
      </c>
      <c r="R164" t="str">
        <f>IF(OR(Table1[[#This Row],[currency]]="EUR",Table1[[#This Row],[currency]]="€"),"EUR",IF(OR(Table1[[#This Row],[currency]]="USD",Table1[[#This Row],[currency]]="$"),"USD","Unknown"))</f>
        <v>EUR</v>
      </c>
      <c r="S164" t="s">
        <v>47</v>
      </c>
      <c r="T164" t="str">
        <f>IFERROR(_xlfn.XLOOKUP(Table1[[#This Row],[order_status]],Table8[Original],Table8[Clean],,0,1),"Unknown")</f>
        <v>Returned</v>
      </c>
      <c r="V164" t="str">
        <f>IF(ISNUMBER(Table1[[#This Row],[delivery_days]]),Table1[[#This Row],[delivery_days]],IFERROR(_xlfn.XLOOKUP(Table1[[#This Row],[delivery_days]],Table57[Original],Table57[Clean],,0,1),"Unknown"))</f>
        <v>Unknown</v>
      </c>
      <c r="W164" t="s">
        <v>24</v>
      </c>
    </row>
    <row r="165" spans="1:23" x14ac:dyDescent="0.3">
      <c r="B165" t="str">
        <f>IF(ISBLANK(Table1[[#This Row],[order_id]]),"",IF(LEFT(Table1[[#This Row],[order_id]],3)="ORD",Table1[[#This Row],[order_id]],"ORD-" &amp; Table1[[#This Row],[order_id]]))</f>
        <v/>
      </c>
      <c r="C165" t="s">
        <v>406</v>
      </c>
      <c r="D165" s="1" t="str">
        <f>IFERROR(DATEVALUE(Table1[[#This Row],[order_date]]),"")</f>
        <v/>
      </c>
      <c r="E165" t="s">
        <v>407</v>
      </c>
      <c r="F165" t="str">
        <f>IF(ISBLANK(Table1[[#This Row],[customer_name]]),"Unknown Customer",PROPER(SUBSTITUTE(Table1[[#This Row],[customer_name]],"Cust.","Customer")))</f>
        <v>Customer 163</v>
      </c>
      <c r="G165" t="s">
        <v>54</v>
      </c>
      <c r="H165" t="str">
        <f>IFERROR(_xlfn.XLOOKUP(Table1[[#This Row],[region]],Mappings!$C$3:$C$8,Mappings!$D$3:$D$8,,0,1),"Unknown")</f>
        <v>USA</v>
      </c>
      <c r="I165" t="s">
        <v>14</v>
      </c>
      <c r="J165" t="str">
        <f>IFERROR(_xlfn.XLOOKUP(Table1[[#This Row],[sales_channel]],Table4[Original],Table4[Clean],,0,1),"Unknown")</f>
        <v>Online</v>
      </c>
      <c r="K165" t="s">
        <v>33</v>
      </c>
      <c r="L165" t="str">
        <f>IFERROR(_xlfn.XLOOKUP(Table1[[#This Row],[product]],Table3[Original],Table3[Product_clean],,0,1),"Unknown")</f>
        <v>Tablet</v>
      </c>
      <c r="M165" s="6"/>
      <c r="N165" t="str">
        <f>IF(ISNUMBER(Table1[[#This Row],[quantity]]),Table1[[#This Row],[quantity]],IFERROR(VLOOKUP(Table1[[#This Row],[quantity]],Table5[#All],2,FALSE),"Unknown"))</f>
        <v>Unknown</v>
      </c>
      <c r="O165" t="s">
        <v>408</v>
      </c>
      <c r="P165">
        <f>IFERROR(VALUE(SUBSTITUTE(SUBSTITUTE(SUBSTITUTE(Table1[[#This Row],[revenue]],"EUR",""),"$",""),".",",")),"")</f>
        <v>1463.28</v>
      </c>
      <c r="Q165" t="s">
        <v>58</v>
      </c>
      <c r="R165" t="str">
        <f>IF(OR(Table1[[#This Row],[currency]]="EUR",Table1[[#This Row],[currency]]="€"),"EUR",IF(OR(Table1[[#This Row],[currency]]="USD",Table1[[#This Row],[currency]]="$"),"USD","Unknown"))</f>
        <v>USD</v>
      </c>
      <c r="S165" t="s">
        <v>23</v>
      </c>
      <c r="T165" t="str">
        <f>IFERROR(_xlfn.XLOOKUP(Table1[[#This Row],[order_status]],Table8[Original],Table8[Clean],,0,1),"Unknown")</f>
        <v>Delivered</v>
      </c>
      <c r="U165">
        <v>1</v>
      </c>
      <c r="V165">
        <f>IF(ISNUMBER(Table1[[#This Row],[delivery_days]]),Table1[[#This Row],[delivery_days]],IFERROR(_xlfn.XLOOKUP(Table1[[#This Row],[delivery_days]],Table57[Original],Table57[Clean],,0,1),"Unknown"))</f>
        <v>1</v>
      </c>
      <c r="W165" t="s">
        <v>37</v>
      </c>
    </row>
    <row r="166" spans="1:23" x14ac:dyDescent="0.3">
      <c r="A166" t="s">
        <v>409</v>
      </c>
      <c r="B166" t="str">
        <f>IF(ISBLANK(Table1[[#This Row],[order_id]]),"",IF(LEFT(Table1[[#This Row],[order_id]],3)="ORD",Table1[[#This Row],[order_id]],"ORD-" &amp; Table1[[#This Row],[order_id]]))</f>
        <v>ORD-1164</v>
      </c>
      <c r="C166" t="s">
        <v>410</v>
      </c>
      <c r="D166" s="1" t="str">
        <f>IFERROR(DATEVALUE(Table1[[#This Row],[order_date]]),"")</f>
        <v/>
      </c>
      <c r="F166" t="str">
        <f>IF(ISBLANK(Table1[[#This Row],[customer_name]]),"Unknown Customer",PROPER(SUBSTITUTE(Table1[[#This Row],[customer_name]],"Cust.","Customer")))</f>
        <v>Unknown Customer</v>
      </c>
      <c r="G166" t="s">
        <v>73</v>
      </c>
      <c r="H166" t="str">
        <f>IFERROR(_xlfn.XLOOKUP(Table1[[#This Row],[region]],Mappings!$C$3:$C$8,Mappings!$D$3:$D$8,,0,1),"Unknown")</f>
        <v>Europe</v>
      </c>
      <c r="J166" t="str">
        <f>IFERROR(_xlfn.XLOOKUP(Table1[[#This Row],[sales_channel]],Table4[Original],Table4[Clean],,0,1),"Unknown")</f>
        <v>Unknown</v>
      </c>
      <c r="L166" t="str">
        <f>IFERROR(_xlfn.XLOOKUP(Table1[[#This Row],[product]],Table3[Original],Table3[Product_clean],,0,1),"Unknown")</f>
        <v>Unknown</v>
      </c>
      <c r="M166" s="6">
        <v>2</v>
      </c>
      <c r="N166">
        <f>IF(ISNUMBER(Table1[[#This Row],[quantity]]),Table1[[#This Row],[quantity]],IFERROR(VLOOKUP(Table1[[#This Row],[quantity]],Table5[#All],2,FALSE),"Unknown"))</f>
        <v>2</v>
      </c>
      <c r="O166">
        <v>736.87</v>
      </c>
      <c r="P166">
        <f>IFERROR(VALUE(SUBSTITUTE(SUBSTITUTE(SUBSTITUTE(Table1[[#This Row],[revenue]],"EUR",""),"$",""),".",",")),"")</f>
        <v>736.87</v>
      </c>
      <c r="Q166" t="s">
        <v>17</v>
      </c>
      <c r="R166" t="str">
        <f>IF(OR(Table1[[#This Row],[currency]]="EUR",Table1[[#This Row],[currency]]="€"),"EUR",IF(OR(Table1[[#This Row],[currency]]="USD",Table1[[#This Row],[currency]]="$"),"USD","Unknown"))</f>
        <v>EUR</v>
      </c>
      <c r="S166" t="s">
        <v>18</v>
      </c>
      <c r="T166" t="str">
        <f>IFERROR(_xlfn.XLOOKUP(Table1[[#This Row],[order_status]],Table8[Original],Table8[Clean],,0,1),"Unknown")</f>
        <v>Pending</v>
      </c>
      <c r="U166">
        <v>2</v>
      </c>
      <c r="V166">
        <f>IF(ISNUMBER(Table1[[#This Row],[delivery_days]]),Table1[[#This Row],[delivery_days]],IFERROR(_xlfn.XLOOKUP(Table1[[#This Row],[delivery_days]],Table57[Original],Table57[Clean],,0,1),"Unknown"))</f>
        <v>2</v>
      </c>
    </row>
    <row r="167" spans="1:23" x14ac:dyDescent="0.3">
      <c r="A167" t="s">
        <v>411</v>
      </c>
      <c r="B167" t="str">
        <f>IF(ISBLANK(Table1[[#This Row],[order_id]]),"",IF(LEFT(Table1[[#This Row],[order_id]],3)="ORD",Table1[[#This Row],[order_id]],"ORD-" &amp; Table1[[#This Row],[order_id]]))</f>
        <v>ORD-1165</v>
      </c>
      <c r="C167" t="s">
        <v>412</v>
      </c>
      <c r="D167" s="1">
        <f>IFERROR(DATEVALUE(Table1[[#This Row],[order_date]]),"")</f>
        <v>45626</v>
      </c>
      <c r="E167" t="s">
        <v>413</v>
      </c>
      <c r="F167" t="str">
        <f>IF(ISBLANK(Table1[[#This Row],[customer_name]]),"Unknown Customer",PROPER(SUBSTITUTE(Table1[[#This Row],[customer_name]],"Cust.","Customer")))</f>
        <v>Customer 165</v>
      </c>
      <c r="G167" t="s">
        <v>26</v>
      </c>
      <c r="H167" t="str">
        <f>IFERROR(_xlfn.XLOOKUP(Table1[[#This Row],[region]],Mappings!$C$3:$C$8,Mappings!$D$3:$D$8,,0,1),"Unknown")</f>
        <v>Asia</v>
      </c>
      <c r="I167" t="s">
        <v>50</v>
      </c>
      <c r="J167" t="str">
        <f>IFERROR(_xlfn.XLOOKUP(Table1[[#This Row],[sales_channel]],Table4[Original],Table4[Clean],,0,1),"Unknown")</f>
        <v>Mobile</v>
      </c>
      <c r="K167" t="s">
        <v>15</v>
      </c>
      <c r="L167" t="str">
        <f>IFERROR(_xlfn.XLOOKUP(Table1[[#This Row],[product]],Table3[Original],Table3[Product_clean],,0,1),"Unknown")</f>
        <v>Tablet</v>
      </c>
      <c r="M167" s="6">
        <v>1</v>
      </c>
      <c r="N167">
        <f>IF(ISNUMBER(Table1[[#This Row],[quantity]]),Table1[[#This Row],[quantity]],IFERROR(VLOOKUP(Table1[[#This Row],[quantity]],Table5[#All],2,FALSE),"Unknown"))</f>
        <v>1</v>
      </c>
      <c r="P167" t="str">
        <f>IFERROR(VALUE(SUBSTITUTE(SUBSTITUTE(SUBSTITUTE(Table1[[#This Row],[revenue]],"EUR",""),"$",""),".",",")),"")</f>
        <v/>
      </c>
      <c r="Q167" t="s">
        <v>17</v>
      </c>
      <c r="R167" t="str">
        <f>IF(OR(Table1[[#This Row],[currency]]="EUR",Table1[[#This Row],[currency]]="€"),"EUR",IF(OR(Table1[[#This Row],[currency]]="USD",Table1[[#This Row],[currency]]="$"),"USD","Unknown"))</f>
        <v>EUR</v>
      </c>
      <c r="T167" t="str">
        <f>IFERROR(_xlfn.XLOOKUP(Table1[[#This Row],[order_status]],Table8[Original],Table8[Clean],,0,1),"Unknown")</f>
        <v>Unknown</v>
      </c>
      <c r="U167" t="s">
        <v>36</v>
      </c>
      <c r="V167">
        <f>IF(ISNUMBER(Table1[[#This Row],[delivery_days]]),Table1[[#This Row],[delivery_days]],IFERROR(_xlfn.XLOOKUP(Table1[[#This Row],[delivery_days]],Table57[Original],Table57[Clean],,0,1),"Unknown"))</f>
        <v>5</v>
      </c>
      <c r="W167" t="s">
        <v>37</v>
      </c>
    </row>
    <row r="168" spans="1:23" x14ac:dyDescent="0.3">
      <c r="A168">
        <v>1166</v>
      </c>
      <c r="B168" t="str">
        <f>IF(ISBLANK(Table1[[#This Row],[order_id]]),"",IF(LEFT(Table1[[#This Row],[order_id]],3)="ORD",Table1[[#This Row],[order_id]],"ORD-" &amp; Table1[[#This Row],[order_id]]))</f>
        <v>ORD-1166</v>
      </c>
      <c r="D168" s="1" t="str">
        <f>IFERROR(DATEVALUE(Table1[[#This Row],[order_date]]),"")</f>
        <v/>
      </c>
      <c r="E168" t="s">
        <v>414</v>
      </c>
      <c r="F168" t="str">
        <f>IF(ISBLANK(Table1[[#This Row],[customer_name]]),"Unknown Customer",PROPER(SUBSTITUTE(Table1[[#This Row],[customer_name]],"Cust.","Customer")))</f>
        <v>Customer 166</v>
      </c>
      <c r="G168" t="s">
        <v>73</v>
      </c>
      <c r="H168" t="str">
        <f>IFERROR(_xlfn.XLOOKUP(Table1[[#This Row],[region]],Mappings!$C$3:$C$8,Mappings!$D$3:$D$8,,0,1),"Unknown")</f>
        <v>Europe</v>
      </c>
      <c r="I168" t="s">
        <v>78</v>
      </c>
      <c r="J168" t="str">
        <f>IFERROR(_xlfn.XLOOKUP(Table1[[#This Row],[sales_channel]],Table4[Original],Table4[Clean],,0,1),"Unknown")</f>
        <v>Mobile</v>
      </c>
      <c r="L168" t="str">
        <f>IFERROR(_xlfn.XLOOKUP(Table1[[#This Row],[product]],Table3[Original],Table3[Product_clean],,0,1),"Unknown")</f>
        <v>Unknown</v>
      </c>
      <c r="M168" s="6" t="s">
        <v>83</v>
      </c>
      <c r="N168">
        <f>IF(ISNUMBER(Table1[[#This Row],[quantity]]),Table1[[#This Row],[quantity]],IFERROR(VLOOKUP(Table1[[#This Row],[quantity]],Table5[#All],2,FALSE),"Unknown"))</f>
        <v>2</v>
      </c>
      <c r="O168">
        <v>2229.13</v>
      </c>
      <c r="P168">
        <f>IFERROR(VALUE(SUBSTITUTE(SUBSTITUTE(SUBSTITUTE(Table1[[#This Row],[revenue]],"EUR",""),"$",""),".",",")),"")</f>
        <v>2229.13</v>
      </c>
      <c r="Q168" t="s">
        <v>58</v>
      </c>
      <c r="R168" t="str">
        <f>IF(OR(Table1[[#This Row],[currency]]="EUR",Table1[[#This Row],[currency]]="€"),"EUR",IF(OR(Table1[[#This Row],[currency]]="USD",Table1[[#This Row],[currency]]="$"),"USD","Unknown"))</f>
        <v>USD</v>
      </c>
      <c r="T168" t="str">
        <f>IFERROR(_xlfn.XLOOKUP(Table1[[#This Row],[order_status]],Table8[Original],Table8[Clean],,0,1),"Unknown")</f>
        <v>Unknown</v>
      </c>
      <c r="U168">
        <v>3</v>
      </c>
      <c r="V168">
        <f>IF(ISNUMBER(Table1[[#This Row],[delivery_days]]),Table1[[#This Row],[delivery_days]],IFERROR(_xlfn.XLOOKUP(Table1[[#This Row],[delivery_days]],Table57[Original],Table57[Clean],,0,1),"Unknown"))</f>
        <v>3</v>
      </c>
    </row>
    <row r="169" spans="1:23" x14ac:dyDescent="0.3">
      <c r="A169" t="s">
        <v>415</v>
      </c>
      <c r="B169" t="str">
        <f>IF(ISBLANK(Table1[[#This Row],[order_id]]),"",IF(LEFT(Table1[[#This Row],[order_id]],3)="ORD",Table1[[#This Row],[order_id]],"ORD-" &amp; Table1[[#This Row],[order_id]]))</f>
        <v>ORD-1167</v>
      </c>
      <c r="C169" t="s">
        <v>416</v>
      </c>
      <c r="D169" s="1">
        <f>IFERROR(DATEVALUE(Table1[[#This Row],[order_date]]),"")</f>
        <v>45413</v>
      </c>
      <c r="F169" t="str">
        <f>IF(ISBLANK(Table1[[#This Row],[customer_name]]),"Unknown Customer",PROPER(SUBSTITUTE(Table1[[#This Row],[customer_name]],"Cust.","Customer")))</f>
        <v>Unknown Customer</v>
      </c>
      <c r="H169" t="str">
        <f>IFERROR(_xlfn.XLOOKUP(Table1[[#This Row],[region]],Mappings!$C$3:$C$8,Mappings!$D$3:$D$8,,0,1),"Unknown")</f>
        <v>Unknown</v>
      </c>
      <c r="I169" t="s">
        <v>68</v>
      </c>
      <c r="J169" t="str">
        <f>IFERROR(_xlfn.XLOOKUP(Table1[[#This Row],[sales_channel]],Table4[Original],Table4[Clean],,0,1),"Unknown")</f>
        <v>Online</v>
      </c>
      <c r="K169" t="s">
        <v>33</v>
      </c>
      <c r="L169" t="str">
        <f>IFERROR(_xlfn.XLOOKUP(Table1[[#This Row],[product]],Table3[Original],Table3[Product_clean],,0,1),"Unknown")</f>
        <v>Tablet</v>
      </c>
      <c r="M169" s="6" t="s">
        <v>83</v>
      </c>
      <c r="N169">
        <f>IF(ISNUMBER(Table1[[#This Row],[quantity]]),Table1[[#This Row],[quantity]],IFERROR(VLOOKUP(Table1[[#This Row],[quantity]],Table5[#All],2,FALSE),"Unknown"))</f>
        <v>2</v>
      </c>
      <c r="O169">
        <v>930.26</v>
      </c>
      <c r="P169">
        <f>IFERROR(VALUE(SUBSTITUTE(SUBSTITUTE(SUBSTITUTE(Table1[[#This Row],[revenue]],"EUR",""),"$",""),".",",")),"")</f>
        <v>930.26</v>
      </c>
      <c r="Q169" t="s">
        <v>58</v>
      </c>
      <c r="R169" t="str">
        <f>IF(OR(Table1[[#This Row],[currency]]="EUR",Table1[[#This Row],[currency]]="€"),"EUR",IF(OR(Table1[[#This Row],[currency]]="USD",Table1[[#This Row],[currency]]="$"),"USD","Unknown"))</f>
        <v>USD</v>
      </c>
      <c r="S169" t="s">
        <v>18</v>
      </c>
      <c r="T169" t="str">
        <f>IFERROR(_xlfn.XLOOKUP(Table1[[#This Row],[order_status]],Table8[Original],Table8[Clean],,0,1),"Unknown")</f>
        <v>Pending</v>
      </c>
      <c r="U169">
        <v>5</v>
      </c>
      <c r="V169">
        <f>IF(ISNUMBER(Table1[[#This Row],[delivery_days]]),Table1[[#This Row],[delivery_days]],IFERROR(_xlfn.XLOOKUP(Table1[[#This Row],[delivery_days]],Table57[Original],Table57[Clean],,0,1),"Unknown"))</f>
        <v>5</v>
      </c>
      <c r="W169" t="s">
        <v>24</v>
      </c>
    </row>
    <row r="170" spans="1:23" x14ac:dyDescent="0.3">
      <c r="A170">
        <v>1168</v>
      </c>
      <c r="B170" t="str">
        <f>IF(ISBLANK(Table1[[#This Row],[order_id]]),"",IF(LEFT(Table1[[#This Row],[order_id]],3)="ORD",Table1[[#This Row],[order_id]],"ORD-" &amp; Table1[[#This Row],[order_id]]))</f>
        <v>ORD-1168</v>
      </c>
      <c r="D170" s="1" t="str">
        <f>IFERROR(DATEVALUE(Table1[[#This Row],[order_date]]),"")</f>
        <v/>
      </c>
      <c r="E170" t="s">
        <v>417</v>
      </c>
      <c r="F170" t="str">
        <f>IF(ISBLANK(Table1[[#This Row],[customer_name]]),"Unknown Customer",PROPER(SUBSTITUTE(Table1[[#This Row],[customer_name]],"Cust.","Customer")))</f>
        <v>Customer 168</v>
      </c>
      <c r="H170" t="str">
        <f>IFERROR(_xlfn.XLOOKUP(Table1[[#This Row],[region]],Mappings!$C$3:$C$8,Mappings!$D$3:$D$8,,0,1),"Unknown")</f>
        <v>Unknown</v>
      </c>
      <c r="I170" t="s">
        <v>27</v>
      </c>
      <c r="J170" t="str">
        <f>IFERROR(_xlfn.XLOOKUP(Table1[[#This Row],[sales_channel]],Table4[Original],Table4[Clean],,0,1),"Unknown")</f>
        <v>Online</v>
      </c>
      <c r="K170" t="s">
        <v>51</v>
      </c>
      <c r="L170" t="str">
        <f>IFERROR(_xlfn.XLOOKUP(Table1[[#This Row],[product]],Table3[Original],Table3[Product_clean],,0,1),"Unknown")</f>
        <v>Laptop</v>
      </c>
      <c r="M170" s="6">
        <v>3</v>
      </c>
      <c r="N170">
        <f>IF(ISNUMBER(Table1[[#This Row],[quantity]]),Table1[[#This Row],[quantity]],IFERROR(VLOOKUP(Table1[[#This Row],[quantity]],Table5[#All],2,FALSE),"Unknown"))</f>
        <v>3</v>
      </c>
      <c r="O170" t="s">
        <v>418</v>
      </c>
      <c r="P170">
        <f>IFERROR(VALUE(SUBSTITUTE(SUBSTITUTE(SUBSTITUTE(Table1[[#This Row],[revenue]],"EUR",""),"$",""),".",",")),"")</f>
        <v>2436</v>
      </c>
      <c r="Q170" t="s">
        <v>55</v>
      </c>
      <c r="R170" t="str">
        <f>IF(OR(Table1[[#This Row],[currency]]="EUR",Table1[[#This Row],[currency]]="€"),"EUR",IF(OR(Table1[[#This Row],[currency]]="USD",Table1[[#This Row],[currency]]="$"),"USD","Unknown"))</f>
        <v>EUR</v>
      </c>
      <c r="S170" t="s">
        <v>18</v>
      </c>
      <c r="T170" t="str">
        <f>IFERROR(_xlfn.XLOOKUP(Table1[[#This Row],[order_status]],Table8[Original],Table8[Clean],,0,1),"Unknown")</f>
        <v>Pending</v>
      </c>
      <c r="V170" t="str">
        <f>IF(ISNUMBER(Table1[[#This Row],[delivery_days]]),Table1[[#This Row],[delivery_days]],IFERROR(_xlfn.XLOOKUP(Table1[[#This Row],[delivery_days]],Table57[Original],Table57[Clean],,0,1),"Unknown"))</f>
        <v>Unknown</v>
      </c>
      <c r="W170" t="s">
        <v>37</v>
      </c>
    </row>
    <row r="171" spans="1:23" x14ac:dyDescent="0.3">
      <c r="A171" t="s">
        <v>419</v>
      </c>
      <c r="B171" t="str">
        <f>IF(ISBLANK(Table1[[#This Row],[order_id]]),"",IF(LEFT(Table1[[#This Row],[order_id]],3)="ORD",Table1[[#This Row],[order_id]],"ORD-" &amp; Table1[[#This Row],[order_id]]))</f>
        <v>ORD-1169</v>
      </c>
      <c r="C171" t="s">
        <v>420</v>
      </c>
      <c r="D171" s="1" t="str">
        <f>IFERROR(DATEVALUE(Table1[[#This Row],[order_date]]),"")</f>
        <v/>
      </c>
      <c r="E171" t="s">
        <v>421</v>
      </c>
      <c r="F171" t="str">
        <f>IF(ISBLANK(Table1[[#This Row],[customer_name]]),"Unknown Customer",PROPER(SUBSTITUTE(Table1[[#This Row],[customer_name]],"Cust.","Customer")))</f>
        <v>Customer 169</v>
      </c>
      <c r="G171" t="s">
        <v>32</v>
      </c>
      <c r="H171" t="str">
        <f>IFERROR(_xlfn.XLOOKUP(Table1[[#This Row],[region]],Mappings!$C$3:$C$8,Mappings!$D$3:$D$8,,0,1),"Unknown")</f>
        <v>Europe</v>
      </c>
      <c r="J171" t="str">
        <f>IFERROR(_xlfn.XLOOKUP(Table1[[#This Row],[sales_channel]],Table4[Original],Table4[Clean],,0,1),"Unknown")</f>
        <v>Unknown</v>
      </c>
      <c r="K171" t="s">
        <v>51</v>
      </c>
      <c r="L171" t="str">
        <f>IFERROR(_xlfn.XLOOKUP(Table1[[#This Row],[product]],Table3[Original],Table3[Product_clean],,0,1),"Unknown")</f>
        <v>Laptop</v>
      </c>
      <c r="M171" s="6">
        <v>2</v>
      </c>
      <c r="N171">
        <f>IF(ISNUMBER(Table1[[#This Row],[quantity]]),Table1[[#This Row],[quantity]],IFERROR(VLOOKUP(Table1[[#This Row],[quantity]],Table5[#All],2,FALSE),"Unknown"))</f>
        <v>2</v>
      </c>
      <c r="P171" t="str">
        <f>IFERROR(VALUE(SUBSTITUTE(SUBSTITUTE(SUBSTITUTE(Table1[[#This Row],[revenue]],"EUR",""),"$",""),".",",")),"")</f>
        <v/>
      </c>
      <c r="Q171" t="s">
        <v>58</v>
      </c>
      <c r="R171" t="str">
        <f>IF(OR(Table1[[#This Row],[currency]]="EUR",Table1[[#This Row],[currency]]="€"),"EUR",IF(OR(Table1[[#This Row],[currency]]="USD",Table1[[#This Row],[currency]]="$"),"USD","Unknown"))</f>
        <v>USD</v>
      </c>
      <c r="S171" t="s">
        <v>47</v>
      </c>
      <c r="T171" t="str">
        <f>IFERROR(_xlfn.XLOOKUP(Table1[[#This Row],[order_status]],Table8[Original],Table8[Clean],,0,1),"Unknown")</f>
        <v>Returned</v>
      </c>
      <c r="U171">
        <v>3</v>
      </c>
      <c r="V171">
        <f>IF(ISNUMBER(Table1[[#This Row],[delivery_days]]),Table1[[#This Row],[delivery_days]],IFERROR(_xlfn.XLOOKUP(Table1[[#This Row],[delivery_days]],Table57[Original],Table57[Clean],,0,1),"Unknown"))</f>
        <v>3</v>
      </c>
      <c r="W171" t="s">
        <v>37</v>
      </c>
    </row>
    <row r="172" spans="1:23" x14ac:dyDescent="0.3">
      <c r="A172" t="s">
        <v>422</v>
      </c>
      <c r="B172" t="str">
        <f>IF(ISBLANK(Table1[[#This Row],[order_id]]),"",IF(LEFT(Table1[[#This Row],[order_id]],3)="ORD",Table1[[#This Row],[order_id]],"ORD-" &amp; Table1[[#This Row],[order_id]]))</f>
        <v>ORD-1170</v>
      </c>
      <c r="C172" t="s">
        <v>423</v>
      </c>
      <c r="D172" s="1">
        <f>IFERROR(DATEVALUE(Table1[[#This Row],[order_date]]),"")</f>
        <v>45383</v>
      </c>
      <c r="E172" t="s">
        <v>424</v>
      </c>
      <c r="F172" t="str">
        <f>IF(ISBLANK(Table1[[#This Row],[customer_name]]),"Unknown Customer",PROPER(SUBSTITUTE(Table1[[#This Row],[customer_name]],"Cust.","Customer")))</f>
        <v>Customer 170</v>
      </c>
      <c r="G172" t="s">
        <v>26</v>
      </c>
      <c r="H172" t="str">
        <f>IFERROR(_xlfn.XLOOKUP(Table1[[#This Row],[region]],Mappings!$C$3:$C$8,Mappings!$D$3:$D$8,,0,1),"Unknown")</f>
        <v>Asia</v>
      </c>
      <c r="I172" t="s">
        <v>68</v>
      </c>
      <c r="J172" t="str">
        <f>IFERROR(_xlfn.XLOOKUP(Table1[[#This Row],[sales_channel]],Table4[Original],Table4[Clean],,0,1),"Unknown")</f>
        <v>Online</v>
      </c>
      <c r="K172" t="s">
        <v>15</v>
      </c>
      <c r="L172" t="str">
        <f>IFERROR(_xlfn.XLOOKUP(Table1[[#This Row],[product]],Table3[Original],Table3[Product_clean],,0,1),"Unknown")</f>
        <v>Tablet</v>
      </c>
      <c r="M172" s="6"/>
      <c r="N172" t="str">
        <f>IF(ISNUMBER(Table1[[#This Row],[quantity]]),Table1[[#This Row],[quantity]],IFERROR(VLOOKUP(Table1[[#This Row],[quantity]],Table5[#All],2,FALSE),"Unknown"))</f>
        <v>Unknown</v>
      </c>
      <c r="O172" t="s">
        <v>425</v>
      </c>
      <c r="P172">
        <f>IFERROR(VALUE(SUBSTITUTE(SUBSTITUTE(SUBSTITUTE(Table1[[#This Row],[revenue]],"EUR",""),"$",""),".",",")),"")</f>
        <v>819.32</v>
      </c>
      <c r="Q172" t="s">
        <v>17</v>
      </c>
      <c r="R172" t="str">
        <f>IF(OR(Table1[[#This Row],[currency]]="EUR",Table1[[#This Row],[currency]]="€"),"EUR",IF(OR(Table1[[#This Row],[currency]]="USD",Table1[[#This Row],[currency]]="$"),"USD","Unknown"))</f>
        <v>EUR</v>
      </c>
      <c r="S172" t="s">
        <v>35</v>
      </c>
      <c r="T172" t="str">
        <f>IFERROR(_xlfn.XLOOKUP(Table1[[#This Row],[order_status]],Table8[Original],Table8[Clean],,0,1),"Unknown")</f>
        <v>Returned</v>
      </c>
      <c r="V172" t="str">
        <f>IF(ISNUMBER(Table1[[#This Row],[delivery_days]]),Table1[[#This Row],[delivery_days]],IFERROR(_xlfn.XLOOKUP(Table1[[#This Row],[delivery_days]],Table57[Original],Table57[Clean],,0,1),"Unknown"))</f>
        <v>Unknown</v>
      </c>
      <c r="W172" t="s">
        <v>24</v>
      </c>
    </row>
    <row r="173" spans="1:23" x14ac:dyDescent="0.3">
      <c r="A173" t="s">
        <v>426</v>
      </c>
      <c r="B173" t="str">
        <f>IF(ISBLANK(Table1[[#This Row],[order_id]]),"",IF(LEFT(Table1[[#This Row],[order_id]],3)="ORD",Table1[[#This Row],[order_id]],"ORD-" &amp; Table1[[#This Row],[order_id]]))</f>
        <v>ORD-1171</v>
      </c>
      <c r="C173" t="s">
        <v>427</v>
      </c>
      <c r="D173" s="1" t="str">
        <f>IFERROR(DATEVALUE(Table1[[#This Row],[order_date]]),"")</f>
        <v/>
      </c>
      <c r="E173" t="s">
        <v>428</v>
      </c>
      <c r="F173" t="str">
        <f>IF(ISBLANK(Table1[[#This Row],[customer_name]]),"Unknown Customer",PROPER(SUBSTITUTE(Table1[[#This Row],[customer_name]],"Cust.","Customer")))</f>
        <v>Customer 171</v>
      </c>
      <c r="G173" t="s">
        <v>32</v>
      </c>
      <c r="H173" t="str">
        <f>IFERROR(_xlfn.XLOOKUP(Table1[[#This Row],[region]],Mappings!$C$3:$C$8,Mappings!$D$3:$D$8,,0,1),"Unknown")</f>
        <v>Europe</v>
      </c>
      <c r="J173" t="str">
        <f>IFERROR(_xlfn.XLOOKUP(Table1[[#This Row],[sales_channel]],Table4[Original],Table4[Clean],,0,1),"Unknown")</f>
        <v>Unknown</v>
      </c>
      <c r="K173" t="s">
        <v>33</v>
      </c>
      <c r="L173" t="str">
        <f>IFERROR(_xlfn.XLOOKUP(Table1[[#This Row],[product]],Table3[Original],Table3[Product_clean],,0,1),"Unknown")</f>
        <v>Tablet</v>
      </c>
      <c r="M173" s="6">
        <v>3</v>
      </c>
      <c r="N173">
        <f>IF(ISNUMBER(Table1[[#This Row],[quantity]]),Table1[[#This Row],[quantity]],IFERROR(VLOOKUP(Table1[[#This Row],[quantity]],Table5[#All],2,FALSE),"Unknown"))</f>
        <v>3</v>
      </c>
      <c r="O173">
        <v>747.09</v>
      </c>
      <c r="P173">
        <f>IFERROR(VALUE(SUBSTITUTE(SUBSTITUTE(SUBSTITUTE(Table1[[#This Row],[revenue]],"EUR",""),"$",""),".",",")),"")</f>
        <v>747.09</v>
      </c>
      <c r="Q173" t="s">
        <v>17</v>
      </c>
      <c r="R173" t="str">
        <f>IF(OR(Table1[[#This Row],[currency]]="EUR",Table1[[#This Row],[currency]]="€"),"EUR",IF(OR(Table1[[#This Row],[currency]]="USD",Table1[[#This Row],[currency]]="$"),"USD","Unknown"))</f>
        <v>EUR</v>
      </c>
      <c r="T173" t="str">
        <f>IFERROR(_xlfn.XLOOKUP(Table1[[#This Row],[order_status]],Table8[Original],Table8[Clean],,0,1),"Unknown")</f>
        <v>Unknown</v>
      </c>
      <c r="U173">
        <v>3</v>
      </c>
      <c r="V173">
        <f>IF(ISNUMBER(Table1[[#This Row],[delivery_days]]),Table1[[#This Row],[delivery_days]],IFERROR(_xlfn.XLOOKUP(Table1[[#This Row],[delivery_days]],Table57[Original],Table57[Clean],,0,1),"Unknown"))</f>
        <v>3</v>
      </c>
      <c r="W173" t="s">
        <v>24</v>
      </c>
    </row>
    <row r="174" spans="1:23" x14ac:dyDescent="0.3">
      <c r="A174" t="s">
        <v>429</v>
      </c>
      <c r="B174" t="str">
        <f>IF(ISBLANK(Table1[[#This Row],[order_id]]),"",IF(LEFT(Table1[[#This Row],[order_id]],3)="ORD",Table1[[#This Row],[order_id]],"ORD-" &amp; Table1[[#This Row],[order_id]]))</f>
        <v>ORD-1172</v>
      </c>
      <c r="C174" t="s">
        <v>430</v>
      </c>
      <c r="D174" s="1">
        <f>IFERROR(DATEVALUE(Table1[[#This Row],[order_date]]),"")</f>
        <v>45606</v>
      </c>
      <c r="F174" t="str">
        <f>IF(ISBLANK(Table1[[#This Row],[customer_name]]),"Unknown Customer",PROPER(SUBSTITUTE(Table1[[#This Row],[customer_name]],"Cust.","Customer")))</f>
        <v>Unknown Customer</v>
      </c>
      <c r="H174" t="str">
        <f>IFERROR(_xlfn.XLOOKUP(Table1[[#This Row],[region]],Mappings!$C$3:$C$8,Mappings!$D$3:$D$8,,0,1),"Unknown")</f>
        <v>Unknown</v>
      </c>
      <c r="I174" t="s">
        <v>68</v>
      </c>
      <c r="J174" t="str">
        <f>IFERROR(_xlfn.XLOOKUP(Table1[[#This Row],[sales_channel]],Table4[Original],Table4[Clean],,0,1),"Unknown")</f>
        <v>Online</v>
      </c>
      <c r="K174" t="s">
        <v>102</v>
      </c>
      <c r="L174" t="str">
        <f>IFERROR(_xlfn.XLOOKUP(Table1[[#This Row],[product]],Table3[Original],Table3[Product_clean],,0,1),"Unknown")</f>
        <v>Phone</v>
      </c>
      <c r="M174" s="6" t="s">
        <v>83</v>
      </c>
      <c r="N174">
        <f>IF(ISNUMBER(Table1[[#This Row],[quantity]]),Table1[[#This Row],[quantity]],IFERROR(VLOOKUP(Table1[[#This Row],[quantity]],Table5[#All],2,FALSE),"Unknown"))</f>
        <v>2</v>
      </c>
      <c r="O174" t="s">
        <v>431</v>
      </c>
      <c r="P174">
        <f>IFERROR(VALUE(SUBSTITUTE(SUBSTITUTE(SUBSTITUTE(Table1[[#This Row],[revenue]],"EUR",""),"$",""),".",",")),"")</f>
        <v>701.51</v>
      </c>
      <c r="R174" t="str">
        <f>IF(OR(Table1[[#This Row],[currency]]="EUR",Table1[[#This Row],[currency]]="€"),"EUR",IF(OR(Table1[[#This Row],[currency]]="USD",Table1[[#This Row],[currency]]="$"),"USD","Unknown"))</f>
        <v>Unknown</v>
      </c>
      <c r="S174" t="s">
        <v>47</v>
      </c>
      <c r="T174" t="str">
        <f>IFERROR(_xlfn.XLOOKUP(Table1[[#This Row],[order_status]],Table8[Original],Table8[Clean],,0,1),"Unknown")</f>
        <v>Returned</v>
      </c>
      <c r="U174" t="s">
        <v>36</v>
      </c>
      <c r="V174">
        <f>IF(ISNUMBER(Table1[[#This Row],[delivery_days]]),Table1[[#This Row],[delivery_days]],IFERROR(_xlfn.XLOOKUP(Table1[[#This Row],[delivery_days]],Table57[Original],Table57[Clean],,0,1),"Unknown"))</f>
        <v>5</v>
      </c>
      <c r="W174" t="s">
        <v>37</v>
      </c>
    </row>
    <row r="175" spans="1:23" x14ac:dyDescent="0.3">
      <c r="B175" t="str">
        <f>IF(ISBLANK(Table1[[#This Row],[order_id]]),"",IF(LEFT(Table1[[#This Row],[order_id]],3)="ORD",Table1[[#This Row],[order_id]],"ORD-" &amp; Table1[[#This Row],[order_id]]))</f>
        <v/>
      </c>
      <c r="D175" s="1" t="str">
        <f>IFERROR(DATEVALUE(Table1[[#This Row],[order_date]]),"")</f>
        <v/>
      </c>
      <c r="E175" t="s">
        <v>432</v>
      </c>
      <c r="F175" t="str">
        <f>IF(ISBLANK(Table1[[#This Row],[customer_name]]),"Unknown Customer",PROPER(SUBSTITUTE(Table1[[#This Row],[customer_name]],"Cust.","Customer")))</f>
        <v>Customer 173</v>
      </c>
      <c r="G175" t="s">
        <v>73</v>
      </c>
      <c r="H175" t="str">
        <f>IFERROR(_xlfn.XLOOKUP(Table1[[#This Row],[region]],Mappings!$C$3:$C$8,Mappings!$D$3:$D$8,,0,1),"Unknown")</f>
        <v>Europe</v>
      </c>
      <c r="I175" t="s">
        <v>68</v>
      </c>
      <c r="J175" t="str">
        <f>IFERROR(_xlfn.XLOOKUP(Table1[[#This Row],[sales_channel]],Table4[Original],Table4[Clean],,0,1),"Unknown")</f>
        <v>Online</v>
      </c>
      <c r="K175" t="s">
        <v>51</v>
      </c>
      <c r="L175" t="str">
        <f>IFERROR(_xlfn.XLOOKUP(Table1[[#This Row],[product]],Table3[Original],Table3[Product_clean],,0,1),"Unknown")</f>
        <v>Laptop</v>
      </c>
      <c r="M175" s="6">
        <v>1</v>
      </c>
      <c r="N175">
        <f>IF(ISNUMBER(Table1[[#This Row],[quantity]]),Table1[[#This Row],[quantity]],IFERROR(VLOOKUP(Table1[[#This Row],[quantity]],Table5[#All],2,FALSE),"Unknown"))</f>
        <v>1</v>
      </c>
      <c r="O175">
        <v>780.02</v>
      </c>
      <c r="P175">
        <f>IFERROR(VALUE(SUBSTITUTE(SUBSTITUTE(SUBSTITUTE(Table1[[#This Row],[revenue]],"EUR",""),"$",""),".",",")),"")</f>
        <v>780.02</v>
      </c>
      <c r="R175" t="str">
        <f>IF(OR(Table1[[#This Row],[currency]]="EUR",Table1[[#This Row],[currency]]="€"),"EUR",IF(OR(Table1[[#This Row],[currency]]="USD",Table1[[#This Row],[currency]]="$"),"USD","Unknown"))</f>
        <v>Unknown</v>
      </c>
      <c r="S175" t="s">
        <v>18</v>
      </c>
      <c r="T175" t="str">
        <f>IFERROR(_xlfn.XLOOKUP(Table1[[#This Row],[order_status]],Table8[Original],Table8[Clean],,0,1),"Unknown")</f>
        <v>Pending</v>
      </c>
      <c r="U175">
        <v>2</v>
      </c>
      <c r="V175">
        <f>IF(ISNUMBER(Table1[[#This Row],[delivery_days]]),Table1[[#This Row],[delivery_days]],IFERROR(_xlfn.XLOOKUP(Table1[[#This Row],[delivery_days]],Table57[Original],Table57[Clean],,0,1),"Unknown"))</f>
        <v>2</v>
      </c>
      <c r="W175" t="s">
        <v>37</v>
      </c>
    </row>
    <row r="176" spans="1:23" x14ac:dyDescent="0.3">
      <c r="A176">
        <v>1174</v>
      </c>
      <c r="B176" t="str">
        <f>IF(ISBLANK(Table1[[#This Row],[order_id]]),"",IF(LEFT(Table1[[#This Row],[order_id]],3)="ORD",Table1[[#This Row],[order_id]],"ORD-" &amp; Table1[[#This Row],[order_id]]))</f>
        <v>ORD-1174</v>
      </c>
      <c r="C176" t="s">
        <v>433</v>
      </c>
      <c r="D176" s="1">
        <f>IFERROR(DATEVALUE(Table1[[#This Row],[order_date]]),"")</f>
        <v>45376</v>
      </c>
      <c r="F176" t="str">
        <f>IF(ISBLANK(Table1[[#This Row],[customer_name]]),"Unknown Customer",PROPER(SUBSTITUTE(Table1[[#This Row],[customer_name]],"Cust.","Customer")))</f>
        <v>Unknown Customer</v>
      </c>
      <c r="G176" t="s">
        <v>73</v>
      </c>
      <c r="H176" t="str">
        <f>IFERROR(_xlfn.XLOOKUP(Table1[[#This Row],[region]],Mappings!$C$3:$C$8,Mappings!$D$3:$D$8,,0,1),"Unknown")</f>
        <v>Europe</v>
      </c>
      <c r="I176" t="s">
        <v>68</v>
      </c>
      <c r="J176" t="str">
        <f>IFERROR(_xlfn.XLOOKUP(Table1[[#This Row],[sales_channel]],Table4[Original],Table4[Clean],,0,1),"Unknown")</f>
        <v>Online</v>
      </c>
      <c r="K176" t="s">
        <v>41</v>
      </c>
      <c r="L176" t="str">
        <f>IFERROR(_xlfn.XLOOKUP(Table1[[#This Row],[product]],Table3[Original],Table3[Product_clean],,0,1),"Unknown")</f>
        <v>Phone</v>
      </c>
      <c r="M176" s="6">
        <v>1</v>
      </c>
      <c r="N176">
        <f>IF(ISNUMBER(Table1[[#This Row],[quantity]]),Table1[[#This Row],[quantity]],IFERROR(VLOOKUP(Table1[[#This Row],[quantity]],Table5[#All],2,FALSE),"Unknown"))</f>
        <v>1</v>
      </c>
      <c r="P176" t="str">
        <f>IFERROR(VALUE(SUBSTITUTE(SUBSTITUTE(SUBSTITUTE(Table1[[#This Row],[revenue]],"EUR",""),"$",""),".",",")),"")</f>
        <v/>
      </c>
      <c r="Q176" t="s">
        <v>22</v>
      </c>
      <c r="R176" t="str">
        <f>IF(OR(Table1[[#This Row],[currency]]="EUR",Table1[[#This Row],[currency]]="€"),"EUR",IF(OR(Table1[[#This Row],[currency]]="USD",Table1[[#This Row],[currency]]="$"),"USD","Unknown"))</f>
        <v>USD</v>
      </c>
      <c r="S176" t="s">
        <v>23</v>
      </c>
      <c r="T176" t="str">
        <f>IFERROR(_xlfn.XLOOKUP(Table1[[#This Row],[order_status]],Table8[Original],Table8[Clean],,0,1),"Unknown")</f>
        <v>Delivered</v>
      </c>
      <c r="U176" t="s">
        <v>36</v>
      </c>
      <c r="V176">
        <f>IF(ISNUMBER(Table1[[#This Row],[delivery_days]]),Table1[[#This Row],[delivery_days]],IFERROR(_xlfn.XLOOKUP(Table1[[#This Row],[delivery_days]],Table57[Original],Table57[Clean],,0,1),"Unknown"))</f>
        <v>5</v>
      </c>
    </row>
    <row r="177" spans="1:23" x14ac:dyDescent="0.3">
      <c r="B177" t="str">
        <f>IF(ISBLANK(Table1[[#This Row],[order_id]]),"",IF(LEFT(Table1[[#This Row],[order_id]],3)="ORD",Table1[[#This Row],[order_id]],"ORD-" &amp; Table1[[#This Row],[order_id]]))</f>
        <v/>
      </c>
      <c r="C177" t="s">
        <v>434</v>
      </c>
      <c r="D177" s="1" t="str">
        <f>IFERROR(DATEVALUE(Table1[[#This Row],[order_date]]),"")</f>
        <v/>
      </c>
      <c r="E177" t="s">
        <v>435</v>
      </c>
      <c r="F177" t="str">
        <f>IF(ISBLANK(Table1[[#This Row],[customer_name]]),"Unknown Customer",PROPER(SUBSTITUTE(Table1[[#This Row],[customer_name]],"Cust.","Customer")))</f>
        <v>Customer 175</v>
      </c>
      <c r="G177" t="s">
        <v>32</v>
      </c>
      <c r="H177" t="str">
        <f>IFERROR(_xlfn.XLOOKUP(Table1[[#This Row],[region]],Mappings!$C$3:$C$8,Mappings!$D$3:$D$8,,0,1),"Unknown")</f>
        <v>Europe</v>
      </c>
      <c r="I177" t="s">
        <v>50</v>
      </c>
      <c r="J177" t="str">
        <f>IFERROR(_xlfn.XLOOKUP(Table1[[#This Row],[sales_channel]],Table4[Original],Table4[Clean],,0,1),"Unknown")</f>
        <v>Mobile</v>
      </c>
      <c r="L177" t="str">
        <f>IFERROR(_xlfn.XLOOKUP(Table1[[#This Row],[product]],Table3[Original],Table3[Product_clean],,0,1),"Unknown")</f>
        <v>Unknown</v>
      </c>
      <c r="M177" s="6">
        <v>1</v>
      </c>
      <c r="N177">
        <f>IF(ISNUMBER(Table1[[#This Row],[quantity]]),Table1[[#This Row],[quantity]],IFERROR(VLOOKUP(Table1[[#This Row],[quantity]],Table5[#All],2,FALSE),"Unknown"))</f>
        <v>1</v>
      </c>
      <c r="P177" t="str">
        <f>IFERROR(VALUE(SUBSTITUTE(SUBSTITUTE(SUBSTITUTE(Table1[[#This Row],[revenue]],"EUR",""),"$",""),".",",")),"")</f>
        <v/>
      </c>
      <c r="Q177" t="s">
        <v>58</v>
      </c>
      <c r="R177" t="str">
        <f>IF(OR(Table1[[#This Row],[currency]]="EUR",Table1[[#This Row],[currency]]="€"),"EUR",IF(OR(Table1[[#This Row],[currency]]="USD",Table1[[#This Row],[currency]]="$"),"USD","Unknown"))</f>
        <v>USD</v>
      </c>
      <c r="S177" t="s">
        <v>18</v>
      </c>
      <c r="T177" t="str">
        <f>IFERROR(_xlfn.XLOOKUP(Table1[[#This Row],[order_status]],Table8[Original],Table8[Clean],,0,1),"Unknown")</f>
        <v>Pending</v>
      </c>
      <c r="U177">
        <v>1</v>
      </c>
      <c r="V177">
        <f>IF(ISNUMBER(Table1[[#This Row],[delivery_days]]),Table1[[#This Row],[delivery_days]],IFERROR(_xlfn.XLOOKUP(Table1[[#This Row],[delivery_days]],Table57[Original],Table57[Clean],,0,1),"Unknown"))</f>
        <v>1</v>
      </c>
    </row>
    <row r="178" spans="1:23" x14ac:dyDescent="0.3">
      <c r="B178" t="str">
        <f>IF(ISBLANK(Table1[[#This Row],[order_id]]),"",IF(LEFT(Table1[[#This Row],[order_id]],3)="ORD",Table1[[#This Row],[order_id]],"ORD-" &amp; Table1[[#This Row],[order_id]]))</f>
        <v/>
      </c>
      <c r="C178" t="s">
        <v>436</v>
      </c>
      <c r="D178" s="1">
        <f>IFERROR(DATEVALUE(Table1[[#This Row],[order_date]]),"")</f>
        <v>45508</v>
      </c>
      <c r="E178" t="s">
        <v>437</v>
      </c>
      <c r="F178" t="str">
        <f>IF(ISBLANK(Table1[[#This Row],[customer_name]]),"Unknown Customer",PROPER(SUBSTITUTE(Table1[[#This Row],[customer_name]],"Cust.","Customer")))</f>
        <v>Customer 176</v>
      </c>
      <c r="G178" t="s">
        <v>32</v>
      </c>
      <c r="H178" t="str">
        <f>IFERROR(_xlfn.XLOOKUP(Table1[[#This Row],[region]],Mappings!$C$3:$C$8,Mappings!$D$3:$D$8,,0,1),"Unknown")</f>
        <v>Europe</v>
      </c>
      <c r="I178" t="s">
        <v>14</v>
      </c>
      <c r="J178" t="str">
        <f>IFERROR(_xlfn.XLOOKUP(Table1[[#This Row],[sales_channel]],Table4[Original],Table4[Clean],,0,1),"Unknown")</f>
        <v>Online</v>
      </c>
      <c r="K178" t="s">
        <v>102</v>
      </c>
      <c r="L178" t="str">
        <f>IFERROR(_xlfn.XLOOKUP(Table1[[#This Row],[product]],Table3[Original],Table3[Product_clean],,0,1),"Unknown")</f>
        <v>Phone</v>
      </c>
      <c r="M178" s="6" t="s">
        <v>83</v>
      </c>
      <c r="N178">
        <f>IF(ISNUMBER(Table1[[#This Row],[quantity]]),Table1[[#This Row],[quantity]],IFERROR(VLOOKUP(Table1[[#This Row],[quantity]],Table5[#All],2,FALSE),"Unknown"))</f>
        <v>2</v>
      </c>
      <c r="O178">
        <v>1066.3599999999999</v>
      </c>
      <c r="P178">
        <f>IFERROR(VALUE(SUBSTITUTE(SUBSTITUTE(SUBSTITUTE(Table1[[#This Row],[revenue]],"EUR",""),"$",""),".",",")),"")</f>
        <v>1066.3599999999999</v>
      </c>
      <c r="Q178" t="s">
        <v>58</v>
      </c>
      <c r="R178" t="str">
        <f>IF(OR(Table1[[#This Row],[currency]]="EUR",Table1[[#This Row],[currency]]="€"),"EUR",IF(OR(Table1[[#This Row],[currency]]="USD",Table1[[#This Row],[currency]]="$"),"USD","Unknown"))</f>
        <v>USD</v>
      </c>
      <c r="S178" t="s">
        <v>23</v>
      </c>
      <c r="T178" t="str">
        <f>IFERROR(_xlfn.XLOOKUP(Table1[[#This Row],[order_status]],Table8[Original],Table8[Clean],,0,1),"Unknown")</f>
        <v>Delivered</v>
      </c>
      <c r="V178" t="str">
        <f>IF(ISNUMBER(Table1[[#This Row],[delivery_days]]),Table1[[#This Row],[delivery_days]],IFERROR(_xlfn.XLOOKUP(Table1[[#This Row],[delivery_days]],Table57[Original],Table57[Clean],,0,1),"Unknown"))</f>
        <v>Unknown</v>
      </c>
    </row>
    <row r="179" spans="1:23" x14ac:dyDescent="0.3">
      <c r="A179" t="s">
        <v>438</v>
      </c>
      <c r="B179" t="str">
        <f>IF(ISBLANK(Table1[[#This Row],[order_id]]),"",IF(LEFT(Table1[[#This Row],[order_id]],3)="ORD",Table1[[#This Row],[order_id]],"ORD-" &amp; Table1[[#This Row],[order_id]]))</f>
        <v>ORD-1177</v>
      </c>
      <c r="D179" s="1" t="str">
        <f>IFERROR(DATEVALUE(Table1[[#This Row],[order_date]]),"")</f>
        <v/>
      </c>
      <c r="F179" t="str">
        <f>IF(ISBLANK(Table1[[#This Row],[customer_name]]),"Unknown Customer",PROPER(SUBSTITUTE(Table1[[#This Row],[customer_name]],"Cust.","Customer")))</f>
        <v>Unknown Customer</v>
      </c>
      <c r="G179" t="s">
        <v>73</v>
      </c>
      <c r="H179" t="str">
        <f>IFERROR(_xlfn.XLOOKUP(Table1[[#This Row],[region]],Mappings!$C$3:$C$8,Mappings!$D$3:$D$8,,0,1),"Unknown")</f>
        <v>Europe</v>
      </c>
      <c r="J179" t="str">
        <f>IFERROR(_xlfn.XLOOKUP(Table1[[#This Row],[sales_channel]],Table4[Original],Table4[Clean],,0,1),"Unknown")</f>
        <v>Unknown</v>
      </c>
      <c r="K179" t="s">
        <v>15</v>
      </c>
      <c r="L179" t="str">
        <f>IFERROR(_xlfn.XLOOKUP(Table1[[#This Row],[product]],Table3[Original],Table3[Product_clean],,0,1),"Unknown")</f>
        <v>Tablet</v>
      </c>
      <c r="M179" s="6"/>
      <c r="N179" t="str">
        <f>IF(ISNUMBER(Table1[[#This Row],[quantity]]),Table1[[#This Row],[quantity]],IFERROR(VLOOKUP(Table1[[#This Row],[quantity]],Table5[#All],2,FALSE),"Unknown"))</f>
        <v>Unknown</v>
      </c>
      <c r="P179" t="str">
        <f>IFERROR(VALUE(SUBSTITUTE(SUBSTITUTE(SUBSTITUTE(Table1[[#This Row],[revenue]],"EUR",""),"$",""),".",",")),"")</f>
        <v/>
      </c>
      <c r="Q179" t="s">
        <v>58</v>
      </c>
      <c r="R179" t="str">
        <f>IF(OR(Table1[[#This Row],[currency]]="EUR",Table1[[#This Row],[currency]]="€"),"EUR",IF(OR(Table1[[#This Row],[currency]]="USD",Table1[[#This Row],[currency]]="$"),"USD","Unknown"))</f>
        <v>USD</v>
      </c>
      <c r="T179" t="str">
        <f>IFERROR(_xlfn.XLOOKUP(Table1[[#This Row],[order_status]],Table8[Original],Table8[Clean],,0,1),"Unknown")</f>
        <v>Unknown</v>
      </c>
      <c r="U179">
        <v>3</v>
      </c>
      <c r="V179">
        <f>IF(ISNUMBER(Table1[[#This Row],[delivery_days]]),Table1[[#This Row],[delivery_days]],IFERROR(_xlfn.XLOOKUP(Table1[[#This Row],[delivery_days]],Table57[Original],Table57[Clean],,0,1),"Unknown"))</f>
        <v>3</v>
      </c>
    </row>
    <row r="180" spans="1:23" x14ac:dyDescent="0.3">
      <c r="B180" t="str">
        <f>IF(ISBLANK(Table1[[#This Row],[order_id]]),"",IF(LEFT(Table1[[#This Row],[order_id]],3)="ORD",Table1[[#This Row],[order_id]],"ORD-" &amp; Table1[[#This Row],[order_id]]))</f>
        <v/>
      </c>
      <c r="C180" t="s">
        <v>439</v>
      </c>
      <c r="D180" s="1">
        <f>IFERROR(DATEVALUE(Table1[[#This Row],[order_date]]),"")</f>
        <v>45383</v>
      </c>
      <c r="E180" t="s">
        <v>440</v>
      </c>
      <c r="F180" t="str">
        <f>IF(ISBLANK(Table1[[#This Row],[customer_name]]),"Unknown Customer",PROPER(SUBSTITUTE(Table1[[#This Row],[customer_name]],"Cust.","Customer")))</f>
        <v>Customer 178</v>
      </c>
      <c r="H180" t="str">
        <f>IFERROR(_xlfn.XLOOKUP(Table1[[#This Row],[region]],Mappings!$C$3:$C$8,Mappings!$D$3:$D$8,,0,1),"Unknown")</f>
        <v>Unknown</v>
      </c>
      <c r="I180" t="s">
        <v>14</v>
      </c>
      <c r="J180" t="str">
        <f>IFERROR(_xlfn.XLOOKUP(Table1[[#This Row],[sales_channel]],Table4[Original],Table4[Clean],,0,1),"Unknown")</f>
        <v>Online</v>
      </c>
      <c r="L180" t="str">
        <f>IFERROR(_xlfn.XLOOKUP(Table1[[#This Row],[product]],Table3[Original],Table3[Product_clean],,0,1),"Unknown")</f>
        <v>Unknown</v>
      </c>
      <c r="M180" s="6">
        <v>1</v>
      </c>
      <c r="N180">
        <f>IF(ISNUMBER(Table1[[#This Row],[quantity]]),Table1[[#This Row],[quantity]],IFERROR(VLOOKUP(Table1[[#This Row],[quantity]],Table5[#All],2,FALSE),"Unknown"))</f>
        <v>1</v>
      </c>
      <c r="P180" t="str">
        <f>IFERROR(VALUE(SUBSTITUTE(SUBSTITUTE(SUBSTITUTE(Table1[[#This Row],[revenue]],"EUR",""),"$",""),".",",")),"")</f>
        <v/>
      </c>
      <c r="Q180" t="s">
        <v>55</v>
      </c>
      <c r="R180" t="str">
        <f>IF(OR(Table1[[#This Row],[currency]]="EUR",Table1[[#This Row],[currency]]="€"),"EUR",IF(OR(Table1[[#This Row],[currency]]="USD",Table1[[#This Row],[currency]]="$"),"USD","Unknown"))</f>
        <v>EUR</v>
      </c>
      <c r="S180" t="s">
        <v>47</v>
      </c>
      <c r="T180" t="str">
        <f>IFERROR(_xlfn.XLOOKUP(Table1[[#This Row],[order_status]],Table8[Original],Table8[Clean],,0,1),"Unknown")</f>
        <v>Returned</v>
      </c>
      <c r="V180" t="str">
        <f>IF(ISNUMBER(Table1[[#This Row],[delivery_days]]),Table1[[#This Row],[delivery_days]],IFERROR(_xlfn.XLOOKUP(Table1[[#This Row],[delivery_days]],Table57[Original],Table57[Clean],,0,1),"Unknown"))</f>
        <v>Unknown</v>
      </c>
    </row>
    <row r="181" spans="1:23" x14ac:dyDescent="0.3">
      <c r="A181">
        <v>1179</v>
      </c>
      <c r="B181" t="str">
        <f>IF(ISBLANK(Table1[[#This Row],[order_id]]),"",IF(LEFT(Table1[[#This Row],[order_id]],3)="ORD",Table1[[#This Row],[order_id]],"ORD-" &amp; Table1[[#This Row],[order_id]]))</f>
        <v>ORD-1179</v>
      </c>
      <c r="D181" s="1" t="str">
        <f>IFERROR(DATEVALUE(Table1[[#This Row],[order_date]]),"")</f>
        <v/>
      </c>
      <c r="E181" t="s">
        <v>441</v>
      </c>
      <c r="F181" t="str">
        <f>IF(ISBLANK(Table1[[#This Row],[customer_name]]),"Unknown Customer",PROPER(SUBSTITUTE(Table1[[#This Row],[customer_name]],"Cust.","Customer")))</f>
        <v>Customer 179</v>
      </c>
      <c r="G181" t="s">
        <v>54</v>
      </c>
      <c r="H181" t="str">
        <f>IFERROR(_xlfn.XLOOKUP(Table1[[#This Row],[region]],Mappings!$C$3:$C$8,Mappings!$D$3:$D$8,,0,1),"Unknown")</f>
        <v>USA</v>
      </c>
      <c r="I181" t="s">
        <v>50</v>
      </c>
      <c r="J181" t="str">
        <f>IFERROR(_xlfn.XLOOKUP(Table1[[#This Row],[sales_channel]],Table4[Original],Table4[Clean],,0,1),"Unknown")</f>
        <v>Mobile</v>
      </c>
      <c r="K181" t="s">
        <v>28</v>
      </c>
      <c r="L181" t="str">
        <f>IFERROR(_xlfn.XLOOKUP(Table1[[#This Row],[product]],Table3[Original],Table3[Product_clean],,0,1),"Unknown")</f>
        <v>Laptop</v>
      </c>
      <c r="M181" s="6">
        <v>1</v>
      </c>
      <c r="N181">
        <f>IF(ISNUMBER(Table1[[#This Row],[quantity]]),Table1[[#This Row],[quantity]],IFERROR(VLOOKUP(Table1[[#This Row],[quantity]],Table5[#All],2,FALSE),"Unknown"))</f>
        <v>1</v>
      </c>
      <c r="O181" t="s">
        <v>442</v>
      </c>
      <c r="P181">
        <f>IFERROR(VALUE(SUBSTITUTE(SUBSTITUTE(SUBSTITUTE(Table1[[#This Row],[revenue]],"EUR",""),"$",""),".",",")),"")</f>
        <v>1168.8699999999999</v>
      </c>
      <c r="Q181" t="s">
        <v>17</v>
      </c>
      <c r="R181" t="str">
        <f>IF(OR(Table1[[#This Row],[currency]]="EUR",Table1[[#This Row],[currency]]="€"),"EUR",IF(OR(Table1[[#This Row],[currency]]="USD",Table1[[#This Row],[currency]]="$"),"USD","Unknown"))</f>
        <v>EUR</v>
      </c>
      <c r="T181" t="str">
        <f>IFERROR(_xlfn.XLOOKUP(Table1[[#This Row],[order_status]],Table8[Original],Table8[Clean],,0,1),"Unknown")</f>
        <v>Unknown</v>
      </c>
      <c r="U181">
        <v>5</v>
      </c>
      <c r="V181">
        <f>IF(ISNUMBER(Table1[[#This Row],[delivery_days]]),Table1[[#This Row],[delivery_days]],IFERROR(_xlfn.XLOOKUP(Table1[[#This Row],[delivery_days]],Table57[Original],Table57[Clean],,0,1),"Unknown"))</f>
        <v>5</v>
      </c>
    </row>
    <row r="182" spans="1:23" x14ac:dyDescent="0.3">
      <c r="B182" t="str">
        <f>IF(ISBLANK(Table1[[#This Row],[order_id]]),"",IF(LEFT(Table1[[#This Row],[order_id]],3)="ORD",Table1[[#This Row],[order_id]],"ORD-" &amp; Table1[[#This Row],[order_id]]))</f>
        <v/>
      </c>
      <c r="C182" t="s">
        <v>443</v>
      </c>
      <c r="D182" s="1">
        <f>IFERROR(DATEVALUE(Table1[[#This Row],[order_date]]),"")</f>
        <v>45415</v>
      </c>
      <c r="F182" t="str">
        <f>IF(ISBLANK(Table1[[#This Row],[customer_name]]),"Unknown Customer",PROPER(SUBSTITUTE(Table1[[#This Row],[customer_name]],"Cust.","Customer")))</f>
        <v>Unknown Customer</v>
      </c>
      <c r="G182" t="s">
        <v>45</v>
      </c>
      <c r="H182" t="str">
        <f>IFERROR(_xlfn.XLOOKUP(Table1[[#This Row],[region]],Mappings!$C$3:$C$8,Mappings!$D$3:$D$8,,0,1),"Unknown")</f>
        <v>USA</v>
      </c>
      <c r="J182" t="str">
        <f>IFERROR(_xlfn.XLOOKUP(Table1[[#This Row],[sales_channel]],Table4[Original],Table4[Clean],,0,1),"Unknown")</f>
        <v>Unknown</v>
      </c>
      <c r="K182" t="s">
        <v>15</v>
      </c>
      <c r="L182" t="str">
        <f>IFERROR(_xlfn.XLOOKUP(Table1[[#This Row],[product]],Table3[Original],Table3[Product_clean],,0,1),"Unknown")</f>
        <v>Tablet</v>
      </c>
      <c r="M182" s="6">
        <v>1</v>
      </c>
      <c r="N182">
        <f>IF(ISNUMBER(Table1[[#This Row],[quantity]]),Table1[[#This Row],[quantity]],IFERROR(VLOOKUP(Table1[[#This Row],[quantity]],Table5[#All],2,FALSE),"Unknown"))</f>
        <v>1</v>
      </c>
      <c r="O182">
        <v>657.94</v>
      </c>
      <c r="P182">
        <f>IFERROR(VALUE(SUBSTITUTE(SUBSTITUTE(SUBSTITUTE(Table1[[#This Row],[revenue]],"EUR",""),"$",""),".",",")),"")</f>
        <v>657.94</v>
      </c>
      <c r="Q182" t="s">
        <v>58</v>
      </c>
      <c r="R182" t="str">
        <f>IF(OR(Table1[[#This Row],[currency]]="EUR",Table1[[#This Row],[currency]]="€"),"EUR",IF(OR(Table1[[#This Row],[currency]]="USD",Table1[[#This Row],[currency]]="$"),"USD","Unknown"))</f>
        <v>USD</v>
      </c>
      <c r="T182" t="str">
        <f>IFERROR(_xlfn.XLOOKUP(Table1[[#This Row],[order_status]],Table8[Original],Table8[Clean],,0,1),"Unknown")</f>
        <v>Unknown</v>
      </c>
      <c r="U182">
        <v>1</v>
      </c>
      <c r="V182">
        <f>IF(ISNUMBER(Table1[[#This Row],[delivery_days]]),Table1[[#This Row],[delivery_days]],IFERROR(_xlfn.XLOOKUP(Table1[[#This Row],[delivery_days]],Table57[Original],Table57[Clean],,0,1),"Unknown"))</f>
        <v>1</v>
      </c>
    </row>
    <row r="183" spans="1:23" x14ac:dyDescent="0.3">
      <c r="A183">
        <v>1181</v>
      </c>
      <c r="B183" t="str">
        <f>IF(ISBLANK(Table1[[#This Row],[order_id]]),"",IF(LEFT(Table1[[#This Row],[order_id]],3)="ORD",Table1[[#This Row],[order_id]],"ORD-" &amp; Table1[[#This Row],[order_id]]))</f>
        <v>ORD-1181</v>
      </c>
      <c r="C183" t="s">
        <v>444</v>
      </c>
      <c r="D183" s="1">
        <f>IFERROR(DATEVALUE(Table1[[#This Row],[order_date]]),"")</f>
        <v>45516</v>
      </c>
      <c r="E183" t="s">
        <v>445</v>
      </c>
      <c r="F183" t="str">
        <f>IF(ISBLANK(Table1[[#This Row],[customer_name]]),"Unknown Customer",PROPER(SUBSTITUTE(Table1[[#This Row],[customer_name]],"Cust.","Customer")))</f>
        <v>Customer 181</v>
      </c>
      <c r="G183" t="s">
        <v>54</v>
      </c>
      <c r="H183" t="str">
        <f>IFERROR(_xlfn.XLOOKUP(Table1[[#This Row],[region]],Mappings!$C$3:$C$8,Mappings!$D$3:$D$8,,0,1),"Unknown")</f>
        <v>USA</v>
      </c>
      <c r="J183" t="str">
        <f>IFERROR(_xlfn.XLOOKUP(Table1[[#This Row],[sales_channel]],Table4[Original],Table4[Clean],,0,1),"Unknown")</f>
        <v>Unknown</v>
      </c>
      <c r="K183" t="s">
        <v>33</v>
      </c>
      <c r="L183" t="str">
        <f>IFERROR(_xlfn.XLOOKUP(Table1[[#This Row],[product]],Table3[Original],Table3[Product_clean],,0,1),"Unknown")</f>
        <v>Tablet</v>
      </c>
      <c r="M183" s="6">
        <v>3</v>
      </c>
      <c r="N183">
        <f>IF(ISNUMBER(Table1[[#This Row],[quantity]]),Table1[[#This Row],[quantity]],IFERROR(VLOOKUP(Table1[[#This Row],[quantity]],Table5[#All],2,FALSE),"Unknown"))</f>
        <v>3</v>
      </c>
      <c r="O183" t="s">
        <v>446</v>
      </c>
      <c r="P183">
        <f>IFERROR(VALUE(SUBSTITUTE(SUBSTITUTE(SUBSTITUTE(Table1[[#This Row],[revenue]],"EUR",""),"$",""),".",",")),"")</f>
        <v>741.3</v>
      </c>
      <c r="R183" t="str">
        <f>IF(OR(Table1[[#This Row],[currency]]="EUR",Table1[[#This Row],[currency]]="€"),"EUR",IF(OR(Table1[[#This Row],[currency]]="USD",Table1[[#This Row],[currency]]="$"),"USD","Unknown"))</f>
        <v>Unknown</v>
      </c>
      <c r="S183" t="s">
        <v>18</v>
      </c>
      <c r="T183" t="str">
        <f>IFERROR(_xlfn.XLOOKUP(Table1[[#This Row],[order_status]],Table8[Original],Table8[Clean],,0,1),"Unknown")</f>
        <v>Pending</v>
      </c>
      <c r="V183" t="str">
        <f>IF(ISNUMBER(Table1[[#This Row],[delivery_days]]),Table1[[#This Row],[delivery_days]],IFERROR(_xlfn.XLOOKUP(Table1[[#This Row],[delivery_days]],Table57[Original],Table57[Clean],,0,1),"Unknown"))</f>
        <v>Unknown</v>
      </c>
      <c r="W183" t="s">
        <v>24</v>
      </c>
    </row>
    <row r="184" spans="1:23" x14ac:dyDescent="0.3">
      <c r="B184" t="str">
        <f>IF(ISBLANK(Table1[[#This Row],[order_id]]),"",IF(LEFT(Table1[[#This Row],[order_id]],3)="ORD",Table1[[#This Row],[order_id]],"ORD-" &amp; Table1[[#This Row],[order_id]]))</f>
        <v/>
      </c>
      <c r="C184" t="s">
        <v>447</v>
      </c>
      <c r="D184" s="1">
        <f>IFERROR(DATEVALUE(Table1[[#This Row],[order_date]]),"")</f>
        <v>45413</v>
      </c>
      <c r="F184" t="str">
        <f>IF(ISBLANK(Table1[[#This Row],[customer_name]]),"Unknown Customer",PROPER(SUBSTITUTE(Table1[[#This Row],[customer_name]],"Cust.","Customer")))</f>
        <v>Unknown Customer</v>
      </c>
      <c r="G184" t="s">
        <v>26</v>
      </c>
      <c r="H184" t="str">
        <f>IFERROR(_xlfn.XLOOKUP(Table1[[#This Row],[region]],Mappings!$C$3:$C$8,Mappings!$D$3:$D$8,,0,1),"Unknown")</f>
        <v>Asia</v>
      </c>
      <c r="I184" t="s">
        <v>50</v>
      </c>
      <c r="J184" t="str">
        <f>IFERROR(_xlfn.XLOOKUP(Table1[[#This Row],[sales_channel]],Table4[Original],Table4[Clean],,0,1),"Unknown")</f>
        <v>Mobile</v>
      </c>
      <c r="K184" t="s">
        <v>51</v>
      </c>
      <c r="L184" t="str">
        <f>IFERROR(_xlfn.XLOOKUP(Table1[[#This Row],[product]],Table3[Original],Table3[Product_clean],,0,1),"Unknown")</f>
        <v>Laptop</v>
      </c>
      <c r="M184" s="6"/>
      <c r="N184" t="str">
        <f>IF(ISNUMBER(Table1[[#This Row],[quantity]]),Table1[[#This Row],[quantity]],IFERROR(VLOOKUP(Table1[[#This Row],[quantity]],Table5[#All],2,FALSE),"Unknown"))</f>
        <v>Unknown</v>
      </c>
      <c r="O184" t="s">
        <v>448</v>
      </c>
      <c r="P184">
        <f>IFERROR(VALUE(SUBSTITUTE(SUBSTITUTE(SUBSTITUTE(Table1[[#This Row],[revenue]],"EUR",""),"$",""),".",",")),"")</f>
        <v>940.21</v>
      </c>
      <c r="R184" t="str">
        <f>IF(OR(Table1[[#This Row],[currency]]="EUR",Table1[[#This Row],[currency]]="€"),"EUR",IF(OR(Table1[[#This Row],[currency]]="USD",Table1[[#This Row],[currency]]="$"),"USD","Unknown"))</f>
        <v>Unknown</v>
      </c>
      <c r="T184" t="str">
        <f>IFERROR(_xlfn.XLOOKUP(Table1[[#This Row],[order_status]],Table8[Original],Table8[Clean],,0,1),"Unknown")</f>
        <v>Unknown</v>
      </c>
      <c r="U184">
        <v>2</v>
      </c>
      <c r="V184">
        <f>IF(ISNUMBER(Table1[[#This Row],[delivery_days]]),Table1[[#This Row],[delivery_days]],IFERROR(_xlfn.XLOOKUP(Table1[[#This Row],[delivery_days]],Table57[Original],Table57[Clean],,0,1),"Unknown"))</f>
        <v>2</v>
      </c>
    </row>
    <row r="185" spans="1:23" x14ac:dyDescent="0.3">
      <c r="B185" t="str">
        <f>IF(ISBLANK(Table1[[#This Row],[order_id]]),"",IF(LEFT(Table1[[#This Row],[order_id]],3)="ORD",Table1[[#This Row],[order_id]],"ORD-" &amp; Table1[[#This Row],[order_id]]))</f>
        <v/>
      </c>
      <c r="D185" s="1" t="str">
        <f>IFERROR(DATEVALUE(Table1[[#This Row],[order_date]]),"")</f>
        <v/>
      </c>
      <c r="E185" t="s">
        <v>449</v>
      </c>
      <c r="F185" t="str">
        <f>IF(ISBLANK(Table1[[#This Row],[customer_name]]),"Unknown Customer",PROPER(SUBSTITUTE(Table1[[#This Row],[customer_name]],"Cust.","Customer")))</f>
        <v>Customer 183</v>
      </c>
      <c r="H185" t="str">
        <f>IFERROR(_xlfn.XLOOKUP(Table1[[#This Row],[region]],Mappings!$C$3:$C$8,Mappings!$D$3:$D$8,,0,1),"Unknown")</f>
        <v>Unknown</v>
      </c>
      <c r="I185" t="s">
        <v>78</v>
      </c>
      <c r="J185" t="str">
        <f>IFERROR(_xlfn.XLOOKUP(Table1[[#This Row],[sales_channel]],Table4[Original],Table4[Clean],,0,1),"Unknown")</f>
        <v>Mobile</v>
      </c>
      <c r="K185" t="s">
        <v>41</v>
      </c>
      <c r="L185" t="str">
        <f>IFERROR(_xlfn.XLOOKUP(Table1[[#This Row],[product]],Table3[Original],Table3[Product_clean],,0,1),"Unknown")</f>
        <v>Phone</v>
      </c>
      <c r="M185" s="6">
        <v>2</v>
      </c>
      <c r="N185">
        <f>IF(ISNUMBER(Table1[[#This Row],[quantity]]),Table1[[#This Row],[quantity]],IFERROR(VLOOKUP(Table1[[#This Row],[quantity]],Table5[#All],2,FALSE),"Unknown"))</f>
        <v>2</v>
      </c>
      <c r="O185" t="s">
        <v>450</v>
      </c>
      <c r="P185">
        <f>IFERROR(VALUE(SUBSTITUTE(SUBSTITUTE(SUBSTITUTE(Table1[[#This Row],[revenue]],"EUR",""),"$",""),".",",")),"")</f>
        <v>1512.08</v>
      </c>
      <c r="Q185" t="s">
        <v>55</v>
      </c>
      <c r="R185" t="str">
        <f>IF(OR(Table1[[#This Row],[currency]]="EUR",Table1[[#This Row],[currency]]="€"),"EUR",IF(OR(Table1[[#This Row],[currency]]="USD",Table1[[#This Row],[currency]]="$"),"USD","Unknown"))</f>
        <v>EUR</v>
      </c>
      <c r="S185" t="s">
        <v>47</v>
      </c>
      <c r="T185" t="str">
        <f>IFERROR(_xlfn.XLOOKUP(Table1[[#This Row],[order_status]],Table8[Original],Table8[Clean],,0,1),"Unknown")</f>
        <v>Returned</v>
      </c>
      <c r="U185">
        <v>2</v>
      </c>
      <c r="V185">
        <f>IF(ISNUMBER(Table1[[#This Row],[delivery_days]]),Table1[[#This Row],[delivery_days]],IFERROR(_xlfn.XLOOKUP(Table1[[#This Row],[delivery_days]],Table57[Original],Table57[Clean],,0,1),"Unknown"))</f>
        <v>2</v>
      </c>
    </row>
    <row r="186" spans="1:23" x14ac:dyDescent="0.3">
      <c r="B186" t="str">
        <f>IF(ISBLANK(Table1[[#This Row],[order_id]]),"",IF(LEFT(Table1[[#This Row],[order_id]],3)="ORD",Table1[[#This Row],[order_id]],"ORD-" &amp; Table1[[#This Row],[order_id]]))</f>
        <v/>
      </c>
      <c r="C186" t="s">
        <v>451</v>
      </c>
      <c r="D186" s="1">
        <f>IFERROR(DATEVALUE(Table1[[#This Row],[order_date]]),"")</f>
        <v>45415</v>
      </c>
      <c r="F186" t="str">
        <f>IF(ISBLANK(Table1[[#This Row],[customer_name]]),"Unknown Customer",PROPER(SUBSTITUTE(Table1[[#This Row],[customer_name]],"Cust.","Customer")))</f>
        <v>Unknown Customer</v>
      </c>
      <c r="G186" t="s">
        <v>73</v>
      </c>
      <c r="H186" t="str">
        <f>IFERROR(_xlfn.XLOOKUP(Table1[[#This Row],[region]],Mappings!$C$3:$C$8,Mappings!$D$3:$D$8,,0,1),"Unknown")</f>
        <v>Europe</v>
      </c>
      <c r="I186" t="s">
        <v>68</v>
      </c>
      <c r="J186" t="str">
        <f>IFERROR(_xlfn.XLOOKUP(Table1[[#This Row],[sales_channel]],Table4[Original],Table4[Clean],,0,1),"Unknown")</f>
        <v>Online</v>
      </c>
      <c r="K186" t="s">
        <v>41</v>
      </c>
      <c r="L186" t="str">
        <f>IFERROR(_xlfn.XLOOKUP(Table1[[#This Row],[product]],Table3[Original],Table3[Product_clean],,0,1),"Unknown")</f>
        <v>Phone</v>
      </c>
      <c r="M186" s="6" t="s">
        <v>83</v>
      </c>
      <c r="N186">
        <f>IF(ISNUMBER(Table1[[#This Row],[quantity]]),Table1[[#This Row],[quantity]],IFERROR(VLOOKUP(Table1[[#This Row],[quantity]],Table5[#All],2,FALSE),"Unknown"))</f>
        <v>2</v>
      </c>
      <c r="O186" t="s">
        <v>452</v>
      </c>
      <c r="P186">
        <f>IFERROR(VALUE(SUBSTITUTE(SUBSTITUTE(SUBSTITUTE(Table1[[#This Row],[revenue]],"EUR",""),"$",""),".",",")),"")</f>
        <v>2555.56</v>
      </c>
      <c r="R186" t="str">
        <f>IF(OR(Table1[[#This Row],[currency]]="EUR",Table1[[#This Row],[currency]]="€"),"EUR",IF(OR(Table1[[#This Row],[currency]]="USD",Table1[[#This Row],[currency]]="$"),"USD","Unknown"))</f>
        <v>Unknown</v>
      </c>
      <c r="S186" t="s">
        <v>18</v>
      </c>
      <c r="T186" t="str">
        <f>IFERROR(_xlfn.XLOOKUP(Table1[[#This Row],[order_status]],Table8[Original],Table8[Clean],,0,1),"Unknown")</f>
        <v>Pending</v>
      </c>
      <c r="U186">
        <v>2</v>
      </c>
      <c r="V186">
        <f>IF(ISNUMBER(Table1[[#This Row],[delivery_days]]),Table1[[#This Row],[delivery_days]],IFERROR(_xlfn.XLOOKUP(Table1[[#This Row],[delivery_days]],Table57[Original],Table57[Clean],,0,1),"Unknown"))</f>
        <v>2</v>
      </c>
    </row>
    <row r="187" spans="1:23" x14ac:dyDescent="0.3">
      <c r="B187" t="str">
        <f>IF(ISBLANK(Table1[[#This Row],[order_id]]),"",IF(LEFT(Table1[[#This Row],[order_id]],3)="ORD",Table1[[#This Row],[order_id]],"ORD-" &amp; Table1[[#This Row],[order_id]]))</f>
        <v/>
      </c>
      <c r="C187" t="s">
        <v>453</v>
      </c>
      <c r="D187" s="1">
        <f>IFERROR(DATEVALUE(Table1[[#This Row],[order_date]]),"")</f>
        <v>45416</v>
      </c>
      <c r="F187" t="str">
        <f>IF(ISBLANK(Table1[[#This Row],[customer_name]]),"Unknown Customer",PROPER(SUBSTITUTE(Table1[[#This Row],[customer_name]],"Cust.","Customer")))</f>
        <v>Unknown Customer</v>
      </c>
      <c r="H187" t="str">
        <f>IFERROR(_xlfn.XLOOKUP(Table1[[#This Row],[region]],Mappings!$C$3:$C$8,Mappings!$D$3:$D$8,,0,1),"Unknown")</f>
        <v>Unknown</v>
      </c>
      <c r="I187" t="s">
        <v>50</v>
      </c>
      <c r="J187" t="str">
        <f>IFERROR(_xlfn.XLOOKUP(Table1[[#This Row],[sales_channel]],Table4[Original],Table4[Clean],,0,1),"Unknown")</f>
        <v>Mobile</v>
      </c>
      <c r="K187" t="s">
        <v>51</v>
      </c>
      <c r="L187" t="str">
        <f>IFERROR(_xlfn.XLOOKUP(Table1[[#This Row],[product]],Table3[Original],Table3[Product_clean],,0,1),"Unknown")</f>
        <v>Laptop</v>
      </c>
      <c r="M187" s="6"/>
      <c r="N187" t="str">
        <f>IF(ISNUMBER(Table1[[#This Row],[quantity]]),Table1[[#This Row],[quantity]],IFERROR(VLOOKUP(Table1[[#This Row],[quantity]],Table5[#All],2,FALSE),"Unknown"))</f>
        <v>Unknown</v>
      </c>
      <c r="O187" t="s">
        <v>454</v>
      </c>
      <c r="P187">
        <f>IFERROR(VALUE(SUBSTITUTE(SUBSTITUTE(SUBSTITUTE(Table1[[#This Row],[revenue]],"EUR",""),"$",""),".",",")),"")</f>
        <v>802.24</v>
      </c>
      <c r="Q187" t="s">
        <v>58</v>
      </c>
      <c r="R187" t="str">
        <f>IF(OR(Table1[[#This Row],[currency]]="EUR",Table1[[#This Row],[currency]]="€"),"EUR",IF(OR(Table1[[#This Row],[currency]]="USD",Table1[[#This Row],[currency]]="$"),"USD","Unknown"))</f>
        <v>USD</v>
      </c>
      <c r="S187" t="s">
        <v>30</v>
      </c>
      <c r="T187" t="str">
        <f>IFERROR(_xlfn.XLOOKUP(Table1[[#This Row],[order_status]],Table8[Original],Table8[Clean],,0,1),"Unknown")</f>
        <v>Delivered</v>
      </c>
      <c r="U187">
        <v>3</v>
      </c>
      <c r="V187">
        <f>IF(ISNUMBER(Table1[[#This Row],[delivery_days]]),Table1[[#This Row],[delivery_days]],IFERROR(_xlfn.XLOOKUP(Table1[[#This Row],[delivery_days]],Table57[Original],Table57[Clean],,0,1),"Unknown"))</f>
        <v>3</v>
      </c>
    </row>
    <row r="188" spans="1:23" x14ac:dyDescent="0.3">
      <c r="A188">
        <v>1186</v>
      </c>
      <c r="B188" t="str">
        <f>IF(ISBLANK(Table1[[#This Row],[order_id]]),"",IF(LEFT(Table1[[#This Row],[order_id]],3)="ORD",Table1[[#This Row],[order_id]],"ORD-" &amp; Table1[[#This Row],[order_id]]))</f>
        <v>ORD-1186</v>
      </c>
      <c r="C188" t="s">
        <v>455</v>
      </c>
      <c r="D188" s="1">
        <f>IFERROR(DATEVALUE(Table1[[#This Row],[order_date]]),"")</f>
        <v>45636</v>
      </c>
      <c r="E188" t="s">
        <v>456</v>
      </c>
      <c r="F188" t="str">
        <f>IF(ISBLANK(Table1[[#This Row],[customer_name]]),"Unknown Customer",PROPER(SUBSTITUTE(Table1[[#This Row],[customer_name]],"Cust.","Customer")))</f>
        <v>Customer 186</v>
      </c>
      <c r="G188" t="s">
        <v>32</v>
      </c>
      <c r="H188" t="str">
        <f>IFERROR(_xlfn.XLOOKUP(Table1[[#This Row],[region]],Mappings!$C$3:$C$8,Mappings!$D$3:$D$8,,0,1),"Unknown")</f>
        <v>Europe</v>
      </c>
      <c r="I188" t="s">
        <v>27</v>
      </c>
      <c r="J188" t="str">
        <f>IFERROR(_xlfn.XLOOKUP(Table1[[#This Row],[sales_channel]],Table4[Original],Table4[Clean],,0,1),"Unknown")</f>
        <v>Online</v>
      </c>
      <c r="L188" t="str">
        <f>IFERROR(_xlfn.XLOOKUP(Table1[[#This Row],[product]],Table3[Original],Table3[Product_clean],,0,1),"Unknown")</f>
        <v>Unknown</v>
      </c>
      <c r="M188" s="6">
        <v>3</v>
      </c>
      <c r="N188">
        <f>IF(ISNUMBER(Table1[[#This Row],[quantity]]),Table1[[#This Row],[quantity]],IFERROR(VLOOKUP(Table1[[#This Row],[quantity]],Table5[#All],2,FALSE),"Unknown"))</f>
        <v>3</v>
      </c>
      <c r="O188">
        <v>1834.66</v>
      </c>
      <c r="P188">
        <f>IFERROR(VALUE(SUBSTITUTE(SUBSTITUTE(SUBSTITUTE(Table1[[#This Row],[revenue]],"EUR",""),"$",""),".",",")),"")</f>
        <v>1834.66</v>
      </c>
      <c r="Q188" t="s">
        <v>55</v>
      </c>
      <c r="R188" t="str">
        <f>IF(OR(Table1[[#This Row],[currency]]="EUR",Table1[[#This Row],[currency]]="€"),"EUR",IF(OR(Table1[[#This Row],[currency]]="USD",Table1[[#This Row],[currency]]="$"),"USD","Unknown"))</f>
        <v>EUR</v>
      </c>
      <c r="S188" t="s">
        <v>30</v>
      </c>
      <c r="T188" t="str">
        <f>IFERROR(_xlfn.XLOOKUP(Table1[[#This Row],[order_status]],Table8[Original],Table8[Clean],,0,1),"Unknown")</f>
        <v>Delivered</v>
      </c>
      <c r="U188">
        <v>2</v>
      </c>
      <c r="V188">
        <f>IF(ISNUMBER(Table1[[#This Row],[delivery_days]]),Table1[[#This Row],[delivery_days]],IFERROR(_xlfn.XLOOKUP(Table1[[#This Row],[delivery_days]],Table57[Original],Table57[Clean],,0,1),"Unknown"))</f>
        <v>2</v>
      </c>
      <c r="W188" t="s">
        <v>37</v>
      </c>
    </row>
    <row r="189" spans="1:23" x14ac:dyDescent="0.3">
      <c r="A189">
        <v>1187</v>
      </c>
      <c r="B189" t="str">
        <f>IF(ISBLANK(Table1[[#This Row],[order_id]]),"",IF(LEFT(Table1[[#This Row],[order_id]],3)="ORD",Table1[[#This Row],[order_id]],"ORD-" &amp; Table1[[#This Row],[order_id]]))</f>
        <v>ORD-1187</v>
      </c>
      <c r="C189" t="s">
        <v>457</v>
      </c>
      <c r="D189" s="1">
        <f>IFERROR(DATEVALUE(Table1[[#This Row],[order_date]]),"")</f>
        <v>45671</v>
      </c>
      <c r="F189" t="str">
        <f>IF(ISBLANK(Table1[[#This Row],[customer_name]]),"Unknown Customer",PROPER(SUBSTITUTE(Table1[[#This Row],[customer_name]],"Cust.","Customer")))</f>
        <v>Unknown Customer</v>
      </c>
      <c r="G189" t="s">
        <v>54</v>
      </c>
      <c r="H189" t="str">
        <f>IFERROR(_xlfn.XLOOKUP(Table1[[#This Row],[region]],Mappings!$C$3:$C$8,Mappings!$D$3:$D$8,,0,1),"Unknown")</f>
        <v>USA</v>
      </c>
      <c r="I189" t="s">
        <v>68</v>
      </c>
      <c r="J189" t="str">
        <f>IFERROR(_xlfn.XLOOKUP(Table1[[#This Row],[sales_channel]],Table4[Original],Table4[Clean],,0,1),"Unknown")</f>
        <v>Online</v>
      </c>
      <c r="K189" t="s">
        <v>102</v>
      </c>
      <c r="L189" t="str">
        <f>IFERROR(_xlfn.XLOOKUP(Table1[[#This Row],[product]],Table3[Original],Table3[Product_clean],,0,1),"Unknown")</f>
        <v>Phone</v>
      </c>
      <c r="M189" s="6">
        <v>3</v>
      </c>
      <c r="N189">
        <f>IF(ISNUMBER(Table1[[#This Row],[quantity]]),Table1[[#This Row],[quantity]],IFERROR(VLOOKUP(Table1[[#This Row],[quantity]],Table5[#All],2,FALSE),"Unknown"))</f>
        <v>3</v>
      </c>
      <c r="P189" t="str">
        <f>IFERROR(VALUE(SUBSTITUTE(SUBSTITUTE(SUBSTITUTE(Table1[[#This Row],[revenue]],"EUR",""),"$",""),".",",")),"")</f>
        <v/>
      </c>
      <c r="Q189" t="s">
        <v>22</v>
      </c>
      <c r="R189" t="str">
        <f>IF(OR(Table1[[#This Row],[currency]]="EUR",Table1[[#This Row],[currency]]="€"),"EUR",IF(OR(Table1[[#This Row],[currency]]="USD",Table1[[#This Row],[currency]]="$"),"USD","Unknown"))</f>
        <v>USD</v>
      </c>
      <c r="S189" t="s">
        <v>47</v>
      </c>
      <c r="T189" t="str">
        <f>IFERROR(_xlfn.XLOOKUP(Table1[[#This Row],[order_status]],Table8[Original],Table8[Clean],,0,1),"Unknown")</f>
        <v>Returned</v>
      </c>
      <c r="U189" t="s">
        <v>36</v>
      </c>
      <c r="V189">
        <f>IF(ISNUMBER(Table1[[#This Row],[delivery_days]]),Table1[[#This Row],[delivery_days]],IFERROR(_xlfn.XLOOKUP(Table1[[#This Row],[delivery_days]],Table57[Original],Table57[Clean],,0,1),"Unknown"))</f>
        <v>5</v>
      </c>
      <c r="W189" t="s">
        <v>24</v>
      </c>
    </row>
    <row r="190" spans="1:23" x14ac:dyDescent="0.3">
      <c r="A190" t="s">
        <v>458</v>
      </c>
      <c r="B190" t="str">
        <f>IF(ISBLANK(Table1[[#This Row],[order_id]]),"",IF(LEFT(Table1[[#This Row],[order_id]],3)="ORD",Table1[[#This Row],[order_id]],"ORD-" &amp; Table1[[#This Row],[order_id]]))</f>
        <v>ORD-1188</v>
      </c>
      <c r="C190" t="s">
        <v>459</v>
      </c>
      <c r="D190" s="1">
        <f>IFERROR(DATEVALUE(Table1[[#This Row],[order_date]]),"")</f>
        <v>45449</v>
      </c>
      <c r="F190" t="str">
        <f>IF(ISBLANK(Table1[[#This Row],[customer_name]]),"Unknown Customer",PROPER(SUBSTITUTE(Table1[[#This Row],[customer_name]],"Cust.","Customer")))</f>
        <v>Unknown Customer</v>
      </c>
      <c r="H190" t="str">
        <f>IFERROR(_xlfn.XLOOKUP(Table1[[#This Row],[region]],Mappings!$C$3:$C$8,Mappings!$D$3:$D$8,,0,1),"Unknown")</f>
        <v>Unknown</v>
      </c>
      <c r="I190" t="s">
        <v>50</v>
      </c>
      <c r="J190" t="str">
        <f>IFERROR(_xlfn.XLOOKUP(Table1[[#This Row],[sales_channel]],Table4[Original],Table4[Clean],,0,1),"Unknown")</f>
        <v>Mobile</v>
      </c>
      <c r="K190" t="s">
        <v>28</v>
      </c>
      <c r="L190" t="str">
        <f>IFERROR(_xlfn.XLOOKUP(Table1[[#This Row],[product]],Table3[Original],Table3[Product_clean],,0,1),"Unknown")</f>
        <v>Laptop</v>
      </c>
      <c r="M190" s="6">
        <v>3</v>
      </c>
      <c r="N190">
        <f>IF(ISNUMBER(Table1[[#This Row],[quantity]]),Table1[[#This Row],[quantity]],IFERROR(VLOOKUP(Table1[[#This Row],[quantity]],Table5[#All],2,FALSE),"Unknown"))</f>
        <v>3</v>
      </c>
      <c r="P190" t="str">
        <f>IFERROR(VALUE(SUBSTITUTE(SUBSTITUTE(SUBSTITUTE(Table1[[#This Row],[revenue]],"EUR",""),"$",""),".",",")),"")</f>
        <v/>
      </c>
      <c r="Q190" t="s">
        <v>55</v>
      </c>
      <c r="R190" t="str">
        <f>IF(OR(Table1[[#This Row],[currency]]="EUR",Table1[[#This Row],[currency]]="€"),"EUR",IF(OR(Table1[[#This Row],[currency]]="USD",Table1[[#This Row],[currency]]="$"),"USD","Unknown"))</f>
        <v>EUR</v>
      </c>
      <c r="S190" t="s">
        <v>47</v>
      </c>
      <c r="T190" t="str">
        <f>IFERROR(_xlfn.XLOOKUP(Table1[[#This Row],[order_status]],Table8[Original],Table8[Clean],,0,1),"Unknown")</f>
        <v>Returned</v>
      </c>
      <c r="U190">
        <v>1</v>
      </c>
      <c r="V190">
        <f>IF(ISNUMBER(Table1[[#This Row],[delivery_days]]),Table1[[#This Row],[delivery_days]],IFERROR(_xlfn.XLOOKUP(Table1[[#This Row],[delivery_days]],Table57[Original],Table57[Clean],,0,1),"Unknown"))</f>
        <v>1</v>
      </c>
      <c r="W190" t="s">
        <v>37</v>
      </c>
    </row>
    <row r="191" spans="1:23" x14ac:dyDescent="0.3">
      <c r="B191" t="str">
        <f>IF(ISBLANK(Table1[[#This Row],[order_id]]),"",IF(LEFT(Table1[[#This Row],[order_id]],3)="ORD",Table1[[#This Row],[order_id]],"ORD-" &amp; Table1[[#This Row],[order_id]]))</f>
        <v/>
      </c>
      <c r="D191" s="1" t="str">
        <f>IFERROR(DATEVALUE(Table1[[#This Row],[order_date]]),"")</f>
        <v/>
      </c>
      <c r="E191" t="s">
        <v>460</v>
      </c>
      <c r="F191" t="str">
        <f>IF(ISBLANK(Table1[[#This Row],[customer_name]]),"Unknown Customer",PROPER(SUBSTITUTE(Table1[[#This Row],[customer_name]],"Cust.","Customer")))</f>
        <v>Customer 189</v>
      </c>
      <c r="G191" t="s">
        <v>54</v>
      </c>
      <c r="H191" t="str">
        <f>IFERROR(_xlfn.XLOOKUP(Table1[[#This Row],[region]],Mappings!$C$3:$C$8,Mappings!$D$3:$D$8,,0,1),"Unknown")</f>
        <v>USA</v>
      </c>
      <c r="I191" t="s">
        <v>27</v>
      </c>
      <c r="J191" t="str">
        <f>IFERROR(_xlfn.XLOOKUP(Table1[[#This Row],[sales_channel]],Table4[Original],Table4[Clean],,0,1),"Unknown")</f>
        <v>Online</v>
      </c>
      <c r="K191" t="s">
        <v>102</v>
      </c>
      <c r="L191" t="str">
        <f>IFERROR(_xlfn.XLOOKUP(Table1[[#This Row],[product]],Table3[Original],Table3[Product_clean],,0,1),"Unknown")</f>
        <v>Phone</v>
      </c>
      <c r="M191" s="6">
        <v>2</v>
      </c>
      <c r="N191">
        <f>IF(ISNUMBER(Table1[[#This Row],[quantity]]),Table1[[#This Row],[quantity]],IFERROR(VLOOKUP(Table1[[#This Row],[quantity]],Table5[#All],2,FALSE),"Unknown"))</f>
        <v>2</v>
      </c>
      <c r="O191" t="s">
        <v>461</v>
      </c>
      <c r="P191">
        <f>IFERROR(VALUE(SUBSTITUTE(SUBSTITUTE(SUBSTITUTE(Table1[[#This Row],[revenue]],"EUR",""),"$",""),".",",")),"")</f>
        <v>480.47</v>
      </c>
      <c r="Q191" t="s">
        <v>22</v>
      </c>
      <c r="R191" t="str">
        <f>IF(OR(Table1[[#This Row],[currency]]="EUR",Table1[[#This Row],[currency]]="€"),"EUR",IF(OR(Table1[[#This Row],[currency]]="USD",Table1[[#This Row],[currency]]="$"),"USD","Unknown"))</f>
        <v>USD</v>
      </c>
      <c r="S191" t="s">
        <v>18</v>
      </c>
      <c r="T191" t="str">
        <f>IFERROR(_xlfn.XLOOKUP(Table1[[#This Row],[order_status]],Table8[Original],Table8[Clean],,0,1),"Unknown")</f>
        <v>Pending</v>
      </c>
      <c r="U191">
        <v>2</v>
      </c>
      <c r="V191">
        <f>IF(ISNUMBER(Table1[[#This Row],[delivery_days]]),Table1[[#This Row],[delivery_days]],IFERROR(_xlfn.XLOOKUP(Table1[[#This Row],[delivery_days]],Table57[Original],Table57[Clean],,0,1),"Unknown"))</f>
        <v>2</v>
      </c>
    </row>
    <row r="192" spans="1:23" x14ac:dyDescent="0.3">
      <c r="A192" t="s">
        <v>462</v>
      </c>
      <c r="B192" t="str">
        <f>IF(ISBLANK(Table1[[#This Row],[order_id]]),"",IF(LEFT(Table1[[#This Row],[order_id]],3)="ORD",Table1[[#This Row],[order_id]],"ORD-" &amp; Table1[[#This Row],[order_id]]))</f>
        <v>ORD-1190</v>
      </c>
      <c r="D192" s="1" t="str">
        <f>IFERROR(DATEVALUE(Table1[[#This Row],[order_date]]),"")</f>
        <v/>
      </c>
      <c r="F192" t="str">
        <f>IF(ISBLANK(Table1[[#This Row],[customer_name]]),"Unknown Customer",PROPER(SUBSTITUTE(Table1[[#This Row],[customer_name]],"Cust.","Customer")))</f>
        <v>Unknown Customer</v>
      </c>
      <c r="G192" t="s">
        <v>32</v>
      </c>
      <c r="H192" t="str">
        <f>IFERROR(_xlfn.XLOOKUP(Table1[[#This Row],[region]],Mappings!$C$3:$C$8,Mappings!$D$3:$D$8,,0,1),"Unknown")</f>
        <v>Europe</v>
      </c>
      <c r="I192" t="s">
        <v>27</v>
      </c>
      <c r="J192" t="str">
        <f>IFERROR(_xlfn.XLOOKUP(Table1[[#This Row],[sales_channel]],Table4[Original],Table4[Clean],,0,1),"Unknown")</f>
        <v>Online</v>
      </c>
      <c r="K192" t="s">
        <v>15</v>
      </c>
      <c r="L192" t="str">
        <f>IFERROR(_xlfn.XLOOKUP(Table1[[#This Row],[product]],Table3[Original],Table3[Product_clean],,0,1),"Unknown")</f>
        <v>Tablet</v>
      </c>
      <c r="M192" s="6">
        <v>3</v>
      </c>
      <c r="N192">
        <f>IF(ISNUMBER(Table1[[#This Row],[quantity]]),Table1[[#This Row],[quantity]],IFERROR(VLOOKUP(Table1[[#This Row],[quantity]],Table5[#All],2,FALSE),"Unknown"))</f>
        <v>3</v>
      </c>
      <c r="O192" t="s">
        <v>463</v>
      </c>
      <c r="P192">
        <f>IFERROR(VALUE(SUBSTITUTE(SUBSTITUTE(SUBSTITUTE(Table1[[#This Row],[revenue]],"EUR",""),"$",""),".",",")),"")</f>
        <v>1981.09</v>
      </c>
      <c r="Q192" t="s">
        <v>58</v>
      </c>
      <c r="R192" t="str">
        <f>IF(OR(Table1[[#This Row],[currency]]="EUR",Table1[[#This Row],[currency]]="€"),"EUR",IF(OR(Table1[[#This Row],[currency]]="USD",Table1[[#This Row],[currency]]="$"),"USD","Unknown"))</f>
        <v>USD</v>
      </c>
      <c r="S192" t="s">
        <v>23</v>
      </c>
      <c r="T192" t="str">
        <f>IFERROR(_xlfn.XLOOKUP(Table1[[#This Row],[order_status]],Table8[Original],Table8[Clean],,0,1),"Unknown")</f>
        <v>Delivered</v>
      </c>
      <c r="V192" t="str">
        <f>IF(ISNUMBER(Table1[[#This Row],[delivery_days]]),Table1[[#This Row],[delivery_days]],IFERROR(_xlfn.XLOOKUP(Table1[[#This Row],[delivery_days]],Table57[Original],Table57[Clean],,0,1),"Unknown"))</f>
        <v>Unknown</v>
      </c>
    </row>
    <row r="193" spans="1:23" x14ac:dyDescent="0.3">
      <c r="B193" t="str">
        <f>IF(ISBLANK(Table1[[#This Row],[order_id]]),"",IF(LEFT(Table1[[#This Row],[order_id]],3)="ORD",Table1[[#This Row],[order_id]],"ORD-" &amp; Table1[[#This Row],[order_id]]))</f>
        <v/>
      </c>
      <c r="C193" t="s">
        <v>464</v>
      </c>
      <c r="D193" s="1">
        <f>IFERROR(DATEVALUE(Table1[[#This Row],[order_date]]),"")</f>
        <v>45386</v>
      </c>
      <c r="E193" t="s">
        <v>465</v>
      </c>
      <c r="F193" t="str">
        <f>IF(ISBLANK(Table1[[#This Row],[customer_name]]),"Unknown Customer",PROPER(SUBSTITUTE(Table1[[#This Row],[customer_name]],"Cust.","Customer")))</f>
        <v>Customer 191</v>
      </c>
      <c r="H193" t="str">
        <f>IFERROR(_xlfn.XLOOKUP(Table1[[#This Row],[region]],Mappings!$C$3:$C$8,Mappings!$D$3:$D$8,,0,1),"Unknown")</f>
        <v>Unknown</v>
      </c>
      <c r="J193" t="str">
        <f>IFERROR(_xlfn.XLOOKUP(Table1[[#This Row],[sales_channel]],Table4[Original],Table4[Clean],,0,1),"Unknown")</f>
        <v>Unknown</v>
      </c>
      <c r="K193" t="s">
        <v>51</v>
      </c>
      <c r="L193" t="str">
        <f>IFERROR(_xlfn.XLOOKUP(Table1[[#This Row],[product]],Table3[Original],Table3[Product_clean],,0,1),"Unknown")</f>
        <v>Laptop</v>
      </c>
      <c r="M193" s="6">
        <v>1</v>
      </c>
      <c r="N193">
        <f>IF(ISNUMBER(Table1[[#This Row],[quantity]]),Table1[[#This Row],[quantity]],IFERROR(VLOOKUP(Table1[[#This Row],[quantity]],Table5[#All],2,FALSE),"Unknown"))</f>
        <v>1</v>
      </c>
      <c r="O193">
        <v>2754.85</v>
      </c>
      <c r="P193">
        <f>IFERROR(VALUE(SUBSTITUTE(SUBSTITUTE(SUBSTITUTE(Table1[[#This Row],[revenue]],"EUR",""),"$",""),".",",")),"")</f>
        <v>2754.85</v>
      </c>
      <c r="Q193" t="s">
        <v>22</v>
      </c>
      <c r="R193" t="str">
        <f>IF(OR(Table1[[#This Row],[currency]]="EUR",Table1[[#This Row],[currency]]="€"),"EUR",IF(OR(Table1[[#This Row],[currency]]="USD",Table1[[#This Row],[currency]]="$"),"USD","Unknown"))</f>
        <v>USD</v>
      </c>
      <c r="S193" t="s">
        <v>23</v>
      </c>
      <c r="T193" t="str">
        <f>IFERROR(_xlfn.XLOOKUP(Table1[[#This Row],[order_status]],Table8[Original],Table8[Clean],,0,1),"Unknown")</f>
        <v>Delivered</v>
      </c>
      <c r="V193" t="str">
        <f>IF(ISNUMBER(Table1[[#This Row],[delivery_days]]),Table1[[#This Row],[delivery_days]],IFERROR(_xlfn.XLOOKUP(Table1[[#This Row],[delivery_days]],Table57[Original],Table57[Clean],,0,1),"Unknown"))</f>
        <v>Unknown</v>
      </c>
      <c r="W193" t="s">
        <v>37</v>
      </c>
    </row>
    <row r="194" spans="1:23" x14ac:dyDescent="0.3">
      <c r="A194">
        <v>1192</v>
      </c>
      <c r="B194" t="str">
        <f>IF(ISBLANK(Table1[[#This Row],[order_id]]),"",IF(LEFT(Table1[[#This Row],[order_id]],3)="ORD",Table1[[#This Row],[order_id]],"ORD-" &amp; Table1[[#This Row],[order_id]]))</f>
        <v>ORD-1192</v>
      </c>
      <c r="D194" s="1" t="str">
        <f>IFERROR(DATEVALUE(Table1[[#This Row],[order_date]]),"")</f>
        <v/>
      </c>
      <c r="E194" t="s">
        <v>466</v>
      </c>
      <c r="F194" t="str">
        <f>IF(ISBLANK(Table1[[#This Row],[customer_name]]),"Unknown Customer",PROPER(SUBSTITUTE(Table1[[#This Row],[customer_name]],"Cust.","Customer")))</f>
        <v>Customer 192</v>
      </c>
      <c r="G194" t="s">
        <v>73</v>
      </c>
      <c r="H194" t="str">
        <f>IFERROR(_xlfn.XLOOKUP(Table1[[#This Row],[region]],Mappings!$C$3:$C$8,Mappings!$D$3:$D$8,,0,1),"Unknown")</f>
        <v>Europe</v>
      </c>
      <c r="I194" t="s">
        <v>68</v>
      </c>
      <c r="J194" t="str">
        <f>IFERROR(_xlfn.XLOOKUP(Table1[[#This Row],[sales_channel]],Table4[Original],Table4[Clean],,0,1),"Unknown")</f>
        <v>Online</v>
      </c>
      <c r="K194" t="s">
        <v>15</v>
      </c>
      <c r="L194" t="str">
        <f>IFERROR(_xlfn.XLOOKUP(Table1[[#This Row],[product]],Table3[Original],Table3[Product_clean],,0,1),"Unknown")</f>
        <v>Tablet</v>
      </c>
      <c r="M194" s="6"/>
      <c r="N194" t="str">
        <f>IF(ISNUMBER(Table1[[#This Row],[quantity]]),Table1[[#This Row],[quantity]],IFERROR(VLOOKUP(Table1[[#This Row],[quantity]],Table5[#All],2,FALSE),"Unknown"))</f>
        <v>Unknown</v>
      </c>
      <c r="O194">
        <v>2136.15</v>
      </c>
      <c r="P194">
        <f>IFERROR(VALUE(SUBSTITUTE(SUBSTITUTE(SUBSTITUTE(Table1[[#This Row],[revenue]],"EUR",""),"$",""),".",",")),"")</f>
        <v>2136.15</v>
      </c>
      <c r="Q194" t="s">
        <v>22</v>
      </c>
      <c r="R194" t="str">
        <f>IF(OR(Table1[[#This Row],[currency]]="EUR",Table1[[#This Row],[currency]]="€"),"EUR",IF(OR(Table1[[#This Row],[currency]]="USD",Table1[[#This Row],[currency]]="$"),"USD","Unknown"))</f>
        <v>USD</v>
      </c>
      <c r="T194" t="str">
        <f>IFERROR(_xlfn.XLOOKUP(Table1[[#This Row],[order_status]],Table8[Original],Table8[Clean],,0,1),"Unknown")</f>
        <v>Unknown</v>
      </c>
      <c r="U194">
        <v>5</v>
      </c>
      <c r="V194">
        <f>IF(ISNUMBER(Table1[[#This Row],[delivery_days]]),Table1[[#This Row],[delivery_days]],IFERROR(_xlfn.XLOOKUP(Table1[[#This Row],[delivery_days]],Table57[Original],Table57[Clean],,0,1),"Unknown"))</f>
        <v>5</v>
      </c>
    </row>
    <row r="195" spans="1:23" x14ac:dyDescent="0.3">
      <c r="A195">
        <v>1193</v>
      </c>
      <c r="B195" t="str">
        <f>IF(ISBLANK(Table1[[#This Row],[order_id]]),"",IF(LEFT(Table1[[#This Row],[order_id]],3)="ORD",Table1[[#This Row],[order_id]],"ORD-" &amp; Table1[[#This Row],[order_id]]))</f>
        <v>ORD-1193</v>
      </c>
      <c r="C195" t="s">
        <v>467</v>
      </c>
      <c r="D195" s="1">
        <f>IFERROR(DATEVALUE(Table1[[#This Row],[order_date]]),"")</f>
        <v>45295</v>
      </c>
      <c r="E195" t="s">
        <v>468</v>
      </c>
      <c r="F195" t="str">
        <f>IF(ISBLANK(Table1[[#This Row],[customer_name]]),"Unknown Customer",PROPER(SUBSTITUTE(Table1[[#This Row],[customer_name]],"Cust.","Customer")))</f>
        <v>Customer 193</v>
      </c>
      <c r="G195" t="s">
        <v>45</v>
      </c>
      <c r="H195" t="str">
        <f>IFERROR(_xlfn.XLOOKUP(Table1[[#This Row],[region]],Mappings!$C$3:$C$8,Mappings!$D$3:$D$8,,0,1),"Unknown")</f>
        <v>USA</v>
      </c>
      <c r="I195" t="s">
        <v>50</v>
      </c>
      <c r="J195" t="str">
        <f>IFERROR(_xlfn.XLOOKUP(Table1[[#This Row],[sales_channel]],Table4[Original],Table4[Clean],,0,1),"Unknown")</f>
        <v>Mobile</v>
      </c>
      <c r="K195" t="s">
        <v>51</v>
      </c>
      <c r="L195" t="str">
        <f>IFERROR(_xlfn.XLOOKUP(Table1[[#This Row],[product]],Table3[Original],Table3[Product_clean],,0,1),"Unknown")</f>
        <v>Laptop</v>
      </c>
      <c r="M195" s="6"/>
      <c r="N195" t="str">
        <f>IF(ISNUMBER(Table1[[#This Row],[quantity]]),Table1[[#This Row],[quantity]],IFERROR(VLOOKUP(Table1[[#This Row],[quantity]],Table5[#All],2,FALSE),"Unknown"))</f>
        <v>Unknown</v>
      </c>
      <c r="P195" t="str">
        <f>IFERROR(VALUE(SUBSTITUTE(SUBSTITUTE(SUBSTITUTE(Table1[[#This Row],[revenue]],"EUR",""),"$",""),".",",")),"")</f>
        <v/>
      </c>
      <c r="Q195" t="s">
        <v>22</v>
      </c>
      <c r="R195" t="str">
        <f>IF(OR(Table1[[#This Row],[currency]]="EUR",Table1[[#This Row],[currency]]="€"),"EUR",IF(OR(Table1[[#This Row],[currency]]="USD",Table1[[#This Row],[currency]]="$"),"USD","Unknown"))</f>
        <v>USD</v>
      </c>
      <c r="S195" t="s">
        <v>23</v>
      </c>
      <c r="T195" t="str">
        <f>IFERROR(_xlfn.XLOOKUP(Table1[[#This Row],[order_status]],Table8[Original],Table8[Clean],,0,1),"Unknown")</f>
        <v>Delivered</v>
      </c>
      <c r="U195">
        <v>1</v>
      </c>
      <c r="V195">
        <f>IF(ISNUMBER(Table1[[#This Row],[delivery_days]]),Table1[[#This Row],[delivery_days]],IFERROR(_xlfn.XLOOKUP(Table1[[#This Row],[delivery_days]],Table57[Original],Table57[Clean],,0,1),"Unknown"))</f>
        <v>1</v>
      </c>
    </row>
    <row r="196" spans="1:23" x14ac:dyDescent="0.3">
      <c r="B196" t="str">
        <f>IF(ISBLANK(Table1[[#This Row],[order_id]]),"",IF(LEFT(Table1[[#This Row],[order_id]],3)="ORD",Table1[[#This Row],[order_id]],"ORD-" &amp; Table1[[#This Row],[order_id]]))</f>
        <v/>
      </c>
      <c r="C196" t="s">
        <v>469</v>
      </c>
      <c r="D196" s="1" t="str">
        <f>IFERROR(DATEVALUE(Table1[[#This Row],[order_date]]),"")</f>
        <v/>
      </c>
      <c r="E196" t="s">
        <v>470</v>
      </c>
      <c r="F196" t="str">
        <f>IF(ISBLANK(Table1[[#This Row],[customer_name]]),"Unknown Customer",PROPER(SUBSTITUTE(Table1[[#This Row],[customer_name]],"Cust.","Customer")))</f>
        <v>Customer 194</v>
      </c>
      <c r="G196" t="s">
        <v>26</v>
      </c>
      <c r="H196" t="str">
        <f>IFERROR(_xlfn.XLOOKUP(Table1[[#This Row],[region]],Mappings!$C$3:$C$8,Mappings!$D$3:$D$8,,0,1),"Unknown")</f>
        <v>Asia</v>
      </c>
      <c r="I196" t="s">
        <v>78</v>
      </c>
      <c r="J196" t="str">
        <f>IFERROR(_xlfn.XLOOKUP(Table1[[#This Row],[sales_channel]],Table4[Original],Table4[Clean],,0,1),"Unknown")</f>
        <v>Mobile</v>
      </c>
      <c r="K196" t="s">
        <v>51</v>
      </c>
      <c r="L196" t="str">
        <f>IFERROR(_xlfn.XLOOKUP(Table1[[#This Row],[product]],Table3[Original],Table3[Product_clean],,0,1),"Unknown")</f>
        <v>Laptop</v>
      </c>
      <c r="M196" s="6">
        <v>3</v>
      </c>
      <c r="N196">
        <f>IF(ISNUMBER(Table1[[#This Row],[quantity]]),Table1[[#This Row],[quantity]],IFERROR(VLOOKUP(Table1[[#This Row],[quantity]],Table5[#All],2,FALSE),"Unknown"))</f>
        <v>3</v>
      </c>
      <c r="O196" t="s">
        <v>471</v>
      </c>
      <c r="P196">
        <f>IFERROR(VALUE(SUBSTITUTE(SUBSTITUTE(SUBSTITUTE(Table1[[#This Row],[revenue]],"EUR",""),"$",""),".",",")),"")</f>
        <v>489.25</v>
      </c>
      <c r="Q196" t="s">
        <v>22</v>
      </c>
      <c r="R196" t="str">
        <f>IF(OR(Table1[[#This Row],[currency]]="EUR",Table1[[#This Row],[currency]]="€"),"EUR",IF(OR(Table1[[#This Row],[currency]]="USD",Table1[[#This Row],[currency]]="$"),"USD","Unknown"))</f>
        <v>USD</v>
      </c>
      <c r="S196" t="s">
        <v>47</v>
      </c>
      <c r="T196" t="str">
        <f>IFERROR(_xlfn.XLOOKUP(Table1[[#This Row],[order_status]],Table8[Original],Table8[Clean],,0,1),"Unknown")</f>
        <v>Returned</v>
      </c>
      <c r="U196" t="s">
        <v>36</v>
      </c>
      <c r="V196">
        <f>IF(ISNUMBER(Table1[[#This Row],[delivery_days]]),Table1[[#This Row],[delivery_days]],IFERROR(_xlfn.XLOOKUP(Table1[[#This Row],[delivery_days]],Table57[Original],Table57[Clean],,0,1),"Unknown"))</f>
        <v>5</v>
      </c>
      <c r="W196" t="s">
        <v>37</v>
      </c>
    </row>
    <row r="197" spans="1:23" x14ac:dyDescent="0.3">
      <c r="B197" t="str">
        <f>IF(ISBLANK(Table1[[#This Row],[order_id]]),"",IF(LEFT(Table1[[#This Row],[order_id]],3)="ORD",Table1[[#This Row],[order_id]],"ORD-" &amp; Table1[[#This Row],[order_id]]))</f>
        <v/>
      </c>
      <c r="C197" t="s">
        <v>472</v>
      </c>
      <c r="D197" s="1">
        <f>IFERROR(DATEVALUE(Table1[[#This Row],[order_date]]),"")</f>
        <v>45648</v>
      </c>
      <c r="E197" t="s">
        <v>473</v>
      </c>
      <c r="F197" t="str">
        <f>IF(ISBLANK(Table1[[#This Row],[customer_name]]),"Unknown Customer",PROPER(SUBSTITUTE(Table1[[#This Row],[customer_name]],"Cust.","Customer")))</f>
        <v>Customer 195</v>
      </c>
      <c r="G197" t="s">
        <v>32</v>
      </c>
      <c r="H197" t="str">
        <f>IFERROR(_xlfn.XLOOKUP(Table1[[#This Row],[region]],Mappings!$C$3:$C$8,Mappings!$D$3:$D$8,,0,1),"Unknown")</f>
        <v>Europe</v>
      </c>
      <c r="I197" t="s">
        <v>78</v>
      </c>
      <c r="J197" t="str">
        <f>IFERROR(_xlfn.XLOOKUP(Table1[[#This Row],[sales_channel]],Table4[Original],Table4[Clean],,0,1),"Unknown")</f>
        <v>Mobile</v>
      </c>
      <c r="K197" t="s">
        <v>41</v>
      </c>
      <c r="L197" t="str">
        <f>IFERROR(_xlfn.XLOOKUP(Table1[[#This Row],[product]],Table3[Original],Table3[Product_clean],,0,1),"Unknown")</f>
        <v>Phone</v>
      </c>
      <c r="M197" s="6"/>
      <c r="N197" t="str">
        <f>IF(ISNUMBER(Table1[[#This Row],[quantity]]),Table1[[#This Row],[quantity]],IFERROR(VLOOKUP(Table1[[#This Row],[quantity]],Table5[#All],2,FALSE),"Unknown"))</f>
        <v>Unknown</v>
      </c>
      <c r="O197">
        <v>716.28</v>
      </c>
      <c r="P197">
        <f>IFERROR(VALUE(SUBSTITUTE(SUBSTITUTE(SUBSTITUTE(Table1[[#This Row],[revenue]],"EUR",""),"$",""),".",",")),"")</f>
        <v>716.28</v>
      </c>
      <c r="Q197" t="s">
        <v>22</v>
      </c>
      <c r="R197" t="str">
        <f>IF(OR(Table1[[#This Row],[currency]]="EUR",Table1[[#This Row],[currency]]="€"),"EUR",IF(OR(Table1[[#This Row],[currency]]="USD",Table1[[#This Row],[currency]]="$"),"USD","Unknown"))</f>
        <v>USD</v>
      </c>
      <c r="S197" t="s">
        <v>30</v>
      </c>
      <c r="T197" t="str">
        <f>IFERROR(_xlfn.XLOOKUP(Table1[[#This Row],[order_status]],Table8[Original],Table8[Clean],,0,1),"Unknown")</f>
        <v>Delivered</v>
      </c>
      <c r="V197" t="str">
        <f>IF(ISNUMBER(Table1[[#This Row],[delivery_days]]),Table1[[#This Row],[delivery_days]],IFERROR(_xlfn.XLOOKUP(Table1[[#This Row],[delivery_days]],Table57[Original],Table57[Clean],,0,1),"Unknown"))</f>
        <v>Unknown</v>
      </c>
    </row>
    <row r="198" spans="1:23" x14ac:dyDescent="0.3">
      <c r="A198" t="s">
        <v>474</v>
      </c>
      <c r="B198" t="str">
        <f>IF(ISBLANK(Table1[[#This Row],[order_id]]),"",IF(LEFT(Table1[[#This Row],[order_id]],3)="ORD",Table1[[#This Row],[order_id]],"ORD-" &amp; Table1[[#This Row],[order_id]]))</f>
        <v>ORD-1196</v>
      </c>
      <c r="C198" t="s">
        <v>475</v>
      </c>
      <c r="D198" s="1" t="str">
        <f>IFERROR(DATEVALUE(Table1[[#This Row],[order_date]]),"")</f>
        <v/>
      </c>
      <c r="E198" t="s">
        <v>476</v>
      </c>
      <c r="F198" t="str">
        <f>IF(ISBLANK(Table1[[#This Row],[customer_name]]),"Unknown Customer",PROPER(SUBSTITUTE(Table1[[#This Row],[customer_name]],"Cust.","Customer")))</f>
        <v>Customer 196</v>
      </c>
      <c r="G198" t="s">
        <v>45</v>
      </c>
      <c r="H198" t="str">
        <f>IFERROR(_xlfn.XLOOKUP(Table1[[#This Row],[region]],Mappings!$C$3:$C$8,Mappings!$D$3:$D$8,,0,1),"Unknown")</f>
        <v>USA</v>
      </c>
      <c r="I198" t="s">
        <v>14</v>
      </c>
      <c r="J198" t="str">
        <f>IFERROR(_xlfn.XLOOKUP(Table1[[#This Row],[sales_channel]],Table4[Original],Table4[Clean],,0,1),"Unknown")</f>
        <v>Online</v>
      </c>
      <c r="K198" t="s">
        <v>28</v>
      </c>
      <c r="L198" t="str">
        <f>IFERROR(_xlfn.XLOOKUP(Table1[[#This Row],[product]],Table3[Original],Table3[Product_clean],,0,1),"Unknown")</f>
        <v>Laptop</v>
      </c>
      <c r="M198" s="6">
        <v>2</v>
      </c>
      <c r="N198">
        <f>IF(ISNUMBER(Table1[[#This Row],[quantity]]),Table1[[#This Row],[quantity]],IFERROR(VLOOKUP(Table1[[#This Row],[quantity]],Table5[#All],2,FALSE),"Unknown"))</f>
        <v>2</v>
      </c>
      <c r="P198" t="str">
        <f>IFERROR(VALUE(SUBSTITUTE(SUBSTITUTE(SUBSTITUTE(Table1[[#This Row],[revenue]],"EUR",""),"$",""),".",",")),"")</f>
        <v/>
      </c>
      <c r="R198" t="str">
        <f>IF(OR(Table1[[#This Row],[currency]]="EUR",Table1[[#This Row],[currency]]="€"),"EUR",IF(OR(Table1[[#This Row],[currency]]="USD",Table1[[#This Row],[currency]]="$"),"USD","Unknown"))</f>
        <v>Unknown</v>
      </c>
      <c r="S198" t="s">
        <v>47</v>
      </c>
      <c r="T198" t="str">
        <f>IFERROR(_xlfn.XLOOKUP(Table1[[#This Row],[order_status]],Table8[Original],Table8[Clean],,0,1),"Unknown")</f>
        <v>Returned</v>
      </c>
      <c r="U198">
        <v>3</v>
      </c>
      <c r="V198">
        <f>IF(ISNUMBER(Table1[[#This Row],[delivery_days]]),Table1[[#This Row],[delivery_days]],IFERROR(_xlfn.XLOOKUP(Table1[[#This Row],[delivery_days]],Table57[Original],Table57[Clean],,0,1),"Unknown"))</f>
        <v>3</v>
      </c>
    </row>
    <row r="199" spans="1:23" x14ac:dyDescent="0.3">
      <c r="B199" t="str">
        <f>IF(ISBLANK(Table1[[#This Row],[order_id]]),"",IF(LEFT(Table1[[#This Row],[order_id]],3)="ORD",Table1[[#This Row],[order_id]],"ORD-" &amp; Table1[[#This Row],[order_id]]))</f>
        <v/>
      </c>
      <c r="C199" t="s">
        <v>477</v>
      </c>
      <c r="D199" s="1">
        <f>IFERROR(DATEVALUE(Table1[[#This Row],[order_date]]),"")</f>
        <v>45330</v>
      </c>
      <c r="E199" t="s">
        <v>478</v>
      </c>
      <c r="F199" t="str">
        <f>IF(ISBLANK(Table1[[#This Row],[customer_name]]),"Unknown Customer",PROPER(SUBSTITUTE(Table1[[#This Row],[customer_name]],"Cust.","Customer")))</f>
        <v>Customer 197</v>
      </c>
      <c r="H199" t="str">
        <f>IFERROR(_xlfn.XLOOKUP(Table1[[#This Row],[region]],Mappings!$C$3:$C$8,Mappings!$D$3:$D$8,,0,1),"Unknown")</f>
        <v>Unknown</v>
      </c>
      <c r="I199" t="s">
        <v>50</v>
      </c>
      <c r="J199" t="str">
        <f>IFERROR(_xlfn.XLOOKUP(Table1[[#This Row],[sales_channel]],Table4[Original],Table4[Clean],,0,1),"Unknown")</f>
        <v>Mobile</v>
      </c>
      <c r="K199" t="s">
        <v>51</v>
      </c>
      <c r="L199" t="str">
        <f>IFERROR(_xlfn.XLOOKUP(Table1[[#This Row],[product]],Table3[Original],Table3[Product_clean],,0,1),"Unknown")</f>
        <v>Laptop</v>
      </c>
      <c r="M199" s="6">
        <v>2</v>
      </c>
      <c r="N199">
        <f>IF(ISNUMBER(Table1[[#This Row],[quantity]]),Table1[[#This Row],[quantity]],IFERROR(VLOOKUP(Table1[[#This Row],[quantity]],Table5[#All],2,FALSE),"Unknown"))</f>
        <v>2</v>
      </c>
      <c r="O199" t="s">
        <v>479</v>
      </c>
      <c r="P199">
        <f>IFERROR(VALUE(SUBSTITUTE(SUBSTITUTE(SUBSTITUTE(Table1[[#This Row],[revenue]],"EUR",""),"$",""),".",",")),"")</f>
        <v>2069.06</v>
      </c>
      <c r="R199" t="str">
        <f>IF(OR(Table1[[#This Row],[currency]]="EUR",Table1[[#This Row],[currency]]="€"),"EUR",IF(OR(Table1[[#This Row],[currency]]="USD",Table1[[#This Row],[currency]]="$"),"USD","Unknown"))</f>
        <v>Unknown</v>
      </c>
      <c r="S199" t="s">
        <v>23</v>
      </c>
      <c r="T199" t="str">
        <f>IFERROR(_xlfn.XLOOKUP(Table1[[#This Row],[order_status]],Table8[Original],Table8[Clean],,0,1),"Unknown")</f>
        <v>Delivered</v>
      </c>
      <c r="V199" t="str">
        <f>IF(ISNUMBER(Table1[[#This Row],[delivery_days]]),Table1[[#This Row],[delivery_days]],IFERROR(_xlfn.XLOOKUP(Table1[[#This Row],[delivery_days]],Table57[Original],Table57[Clean],,0,1),"Unknown"))</f>
        <v>Unknown</v>
      </c>
    </row>
    <row r="200" spans="1:23" x14ac:dyDescent="0.3">
      <c r="B200" t="str">
        <f>IF(ISBLANK(Table1[[#This Row],[order_id]]),"",IF(LEFT(Table1[[#This Row],[order_id]],3)="ORD",Table1[[#This Row],[order_id]],"ORD-" &amp; Table1[[#This Row],[order_id]]))</f>
        <v/>
      </c>
      <c r="D200" s="1" t="str">
        <f>IFERROR(DATEVALUE(Table1[[#This Row],[order_date]]),"")</f>
        <v/>
      </c>
      <c r="E200" t="s">
        <v>480</v>
      </c>
      <c r="F200" t="str">
        <f>IF(ISBLANK(Table1[[#This Row],[customer_name]]),"Unknown Customer",PROPER(SUBSTITUTE(Table1[[#This Row],[customer_name]],"Cust.","Customer")))</f>
        <v>Customer 198</v>
      </c>
      <c r="G200" t="s">
        <v>32</v>
      </c>
      <c r="H200" t="str">
        <f>IFERROR(_xlfn.XLOOKUP(Table1[[#This Row],[region]],Mappings!$C$3:$C$8,Mappings!$D$3:$D$8,,0,1),"Unknown")</f>
        <v>Europe</v>
      </c>
      <c r="J200" t="str">
        <f>IFERROR(_xlfn.XLOOKUP(Table1[[#This Row],[sales_channel]],Table4[Original],Table4[Clean],,0,1),"Unknown")</f>
        <v>Unknown</v>
      </c>
      <c r="K200" t="s">
        <v>28</v>
      </c>
      <c r="L200" t="str">
        <f>IFERROR(_xlfn.XLOOKUP(Table1[[#This Row],[product]],Table3[Original],Table3[Product_clean],,0,1),"Unknown")</f>
        <v>Laptop</v>
      </c>
      <c r="M200" s="6">
        <v>1</v>
      </c>
      <c r="N200">
        <f>IF(ISNUMBER(Table1[[#This Row],[quantity]]),Table1[[#This Row],[quantity]],IFERROR(VLOOKUP(Table1[[#This Row],[quantity]],Table5[#All],2,FALSE),"Unknown"))</f>
        <v>1</v>
      </c>
      <c r="O200" t="s">
        <v>481</v>
      </c>
      <c r="P200">
        <f>IFERROR(VALUE(SUBSTITUTE(SUBSTITUTE(SUBSTITUTE(Table1[[#This Row],[revenue]],"EUR",""),"$",""),".",",")),"")</f>
        <v>932.87</v>
      </c>
      <c r="R200" t="str">
        <f>IF(OR(Table1[[#This Row],[currency]]="EUR",Table1[[#This Row],[currency]]="€"),"EUR",IF(OR(Table1[[#This Row],[currency]]="USD",Table1[[#This Row],[currency]]="$"),"USD","Unknown"))</f>
        <v>Unknown</v>
      </c>
      <c r="T200" t="str">
        <f>IFERROR(_xlfn.XLOOKUP(Table1[[#This Row],[order_status]],Table8[Original],Table8[Clean],,0,1),"Unknown")</f>
        <v>Unknown</v>
      </c>
      <c r="U200">
        <v>3</v>
      </c>
      <c r="V200">
        <f>IF(ISNUMBER(Table1[[#This Row],[delivery_days]]),Table1[[#This Row],[delivery_days]],IFERROR(_xlfn.XLOOKUP(Table1[[#This Row],[delivery_days]],Table57[Original],Table57[Clean],,0,1),"Unknown"))</f>
        <v>3</v>
      </c>
    </row>
    <row r="201" spans="1:23" x14ac:dyDescent="0.3">
      <c r="A201" t="s">
        <v>482</v>
      </c>
      <c r="B201" t="str">
        <f>IF(ISBLANK(Table1[[#This Row],[order_id]]),"",IF(LEFT(Table1[[#This Row],[order_id]],3)="ORD",Table1[[#This Row],[order_id]],"ORD-" &amp; Table1[[#This Row],[order_id]]))</f>
        <v>ORD-1199</v>
      </c>
      <c r="D201" s="1" t="str">
        <f>IFERROR(DATEVALUE(Table1[[#This Row],[order_date]]),"")</f>
        <v/>
      </c>
      <c r="E201" t="s">
        <v>483</v>
      </c>
      <c r="F201" t="str">
        <f>IF(ISBLANK(Table1[[#This Row],[customer_name]]),"Unknown Customer",PROPER(SUBSTITUTE(Table1[[#This Row],[customer_name]],"Cust.","Customer")))</f>
        <v>Customer 199</v>
      </c>
      <c r="G201" t="s">
        <v>73</v>
      </c>
      <c r="H201" t="str">
        <f>IFERROR(_xlfn.XLOOKUP(Table1[[#This Row],[region]],Mappings!$C$3:$C$8,Mappings!$D$3:$D$8,,0,1),"Unknown")</f>
        <v>Europe</v>
      </c>
      <c r="J201" t="str">
        <f>IFERROR(_xlfn.XLOOKUP(Table1[[#This Row],[sales_channel]],Table4[Original],Table4[Clean],,0,1),"Unknown")</f>
        <v>Unknown</v>
      </c>
      <c r="K201" t="s">
        <v>102</v>
      </c>
      <c r="L201" t="str">
        <f>IFERROR(_xlfn.XLOOKUP(Table1[[#This Row],[product]],Table3[Original],Table3[Product_clean],,0,1),"Unknown")</f>
        <v>Phone</v>
      </c>
      <c r="M201" s="6" t="s">
        <v>83</v>
      </c>
      <c r="N201">
        <f>IF(ISNUMBER(Table1[[#This Row],[quantity]]),Table1[[#This Row],[quantity]],IFERROR(VLOOKUP(Table1[[#This Row],[quantity]],Table5[#All],2,FALSE),"Unknown"))</f>
        <v>2</v>
      </c>
      <c r="O201">
        <v>1339.41</v>
      </c>
      <c r="P201">
        <f>IFERROR(VALUE(SUBSTITUTE(SUBSTITUTE(SUBSTITUTE(Table1[[#This Row],[revenue]],"EUR",""),"$",""),".",",")),"")</f>
        <v>1339.41</v>
      </c>
      <c r="Q201" t="s">
        <v>22</v>
      </c>
      <c r="R201" t="str">
        <f>IF(OR(Table1[[#This Row],[currency]]="EUR",Table1[[#This Row],[currency]]="€"),"EUR",IF(OR(Table1[[#This Row],[currency]]="USD",Table1[[#This Row],[currency]]="$"),"USD","Unknown"))</f>
        <v>USD</v>
      </c>
      <c r="S201" t="s">
        <v>23</v>
      </c>
      <c r="T201" t="str">
        <f>IFERROR(_xlfn.XLOOKUP(Table1[[#This Row],[order_status]],Table8[Original],Table8[Clean],,0,1),"Unknown")</f>
        <v>Delivered</v>
      </c>
      <c r="U201">
        <v>3</v>
      </c>
      <c r="V201">
        <f>IF(ISNUMBER(Table1[[#This Row],[delivery_days]]),Table1[[#This Row],[delivery_days]],IFERROR(_xlfn.XLOOKUP(Table1[[#This Row],[delivery_days]],Table57[Original],Table57[Clean],,0,1),"Unknown"))</f>
        <v>3</v>
      </c>
    </row>
    <row r="202" spans="1:23" x14ac:dyDescent="0.3">
      <c r="A202">
        <v>1200</v>
      </c>
      <c r="B202" t="str">
        <f>IF(ISBLANK(Table1[[#This Row],[order_id]]),"",IF(LEFT(Table1[[#This Row],[order_id]],3)="ORD",Table1[[#This Row],[order_id]],"ORD-" &amp; Table1[[#This Row],[order_id]]))</f>
        <v>ORD-1200</v>
      </c>
      <c r="C202" t="s">
        <v>484</v>
      </c>
      <c r="D202" s="1">
        <f>IFERROR(DATEVALUE(Table1[[#This Row],[order_date]]),"")</f>
        <v>45543</v>
      </c>
      <c r="E202" t="s">
        <v>485</v>
      </c>
      <c r="F202" t="str">
        <f>IF(ISBLANK(Table1[[#This Row],[customer_name]]),"Unknown Customer",PROPER(SUBSTITUTE(Table1[[#This Row],[customer_name]],"Cust.","Customer")))</f>
        <v>Customer 200</v>
      </c>
      <c r="H202" t="str">
        <f>IFERROR(_xlfn.XLOOKUP(Table1[[#This Row],[region]],Mappings!$C$3:$C$8,Mappings!$D$3:$D$8,,0,1),"Unknown")</f>
        <v>Unknown</v>
      </c>
      <c r="I202" t="s">
        <v>14</v>
      </c>
      <c r="J202" t="str">
        <f>IFERROR(_xlfn.XLOOKUP(Table1[[#This Row],[sales_channel]],Table4[Original],Table4[Clean],,0,1),"Unknown")</f>
        <v>Online</v>
      </c>
      <c r="K202" t="s">
        <v>51</v>
      </c>
      <c r="L202" t="str">
        <f>IFERROR(_xlfn.XLOOKUP(Table1[[#This Row],[product]],Table3[Original],Table3[Product_clean],,0,1),"Unknown")</f>
        <v>Laptop</v>
      </c>
      <c r="M202" s="6">
        <v>3</v>
      </c>
      <c r="N202">
        <f>IF(ISNUMBER(Table1[[#This Row],[quantity]]),Table1[[#This Row],[quantity]],IFERROR(VLOOKUP(Table1[[#This Row],[quantity]],Table5[#All],2,FALSE),"Unknown"))</f>
        <v>3</v>
      </c>
      <c r="P202" t="str">
        <f>IFERROR(VALUE(SUBSTITUTE(SUBSTITUTE(SUBSTITUTE(Table1[[#This Row],[revenue]],"EUR",""),"$",""),".",",")),"")</f>
        <v/>
      </c>
      <c r="Q202" t="s">
        <v>58</v>
      </c>
      <c r="R202" t="str">
        <f>IF(OR(Table1[[#This Row],[currency]]="EUR",Table1[[#This Row],[currency]]="€"),"EUR",IF(OR(Table1[[#This Row],[currency]]="USD",Table1[[#This Row],[currency]]="$"),"USD","Unknown"))</f>
        <v>USD</v>
      </c>
      <c r="S202" t="s">
        <v>47</v>
      </c>
      <c r="T202" t="str">
        <f>IFERROR(_xlfn.XLOOKUP(Table1[[#This Row],[order_status]],Table8[Original],Table8[Clean],,0,1),"Unknown")</f>
        <v>Returned</v>
      </c>
      <c r="V202" t="str">
        <f>IF(ISNUMBER(Table1[[#This Row],[delivery_days]]),Table1[[#This Row],[delivery_days]],IFERROR(_xlfn.XLOOKUP(Table1[[#This Row],[delivery_days]],Table57[Original],Table57[Clean],,0,1),"Unknown"))</f>
        <v>Unknown</v>
      </c>
      <c r="W202" t="s">
        <v>37</v>
      </c>
    </row>
    <row r="203" spans="1:23" x14ac:dyDescent="0.3">
      <c r="A203">
        <v>1201</v>
      </c>
      <c r="B203" t="str">
        <f>IF(ISBLANK(Table1[[#This Row],[order_id]]),"",IF(LEFT(Table1[[#This Row],[order_id]],3)="ORD",Table1[[#This Row],[order_id]],"ORD-" &amp; Table1[[#This Row],[order_id]]))</f>
        <v>ORD-1201</v>
      </c>
      <c r="C203" t="s">
        <v>486</v>
      </c>
      <c r="D203" s="1">
        <f>IFERROR(DATEVALUE(Table1[[#This Row],[order_date]]),"")</f>
        <v>45670</v>
      </c>
      <c r="E203" t="s">
        <v>487</v>
      </c>
      <c r="F203" t="str">
        <f>IF(ISBLANK(Table1[[#This Row],[customer_name]]),"Unknown Customer",PROPER(SUBSTITUTE(Table1[[#This Row],[customer_name]],"Cust.","Customer")))</f>
        <v>Customer 201</v>
      </c>
      <c r="G203" t="s">
        <v>26</v>
      </c>
      <c r="H203" t="str">
        <f>IFERROR(_xlfn.XLOOKUP(Table1[[#This Row],[region]],Mappings!$C$3:$C$8,Mappings!$D$3:$D$8,,0,1),"Unknown")</f>
        <v>Asia</v>
      </c>
      <c r="I203" t="s">
        <v>78</v>
      </c>
      <c r="J203" t="str">
        <f>IFERROR(_xlfn.XLOOKUP(Table1[[#This Row],[sales_channel]],Table4[Original],Table4[Clean],,0,1),"Unknown")</f>
        <v>Mobile</v>
      </c>
      <c r="K203" t="s">
        <v>102</v>
      </c>
      <c r="L203" t="str">
        <f>IFERROR(_xlfn.XLOOKUP(Table1[[#This Row],[product]],Table3[Original],Table3[Product_clean],,0,1),"Unknown")</f>
        <v>Phone</v>
      </c>
      <c r="M203" s="6">
        <v>3</v>
      </c>
      <c r="N203">
        <f>IF(ISNUMBER(Table1[[#This Row],[quantity]]),Table1[[#This Row],[quantity]],IFERROR(VLOOKUP(Table1[[#This Row],[quantity]],Table5[#All],2,FALSE),"Unknown"))</f>
        <v>3</v>
      </c>
      <c r="O203" t="s">
        <v>488</v>
      </c>
      <c r="P203">
        <f>IFERROR(VALUE(SUBSTITUTE(SUBSTITUTE(SUBSTITUTE(Table1[[#This Row],[revenue]],"EUR",""),"$",""),".",",")),"")</f>
        <v>1199.3800000000001</v>
      </c>
      <c r="Q203" t="s">
        <v>17</v>
      </c>
      <c r="R203" t="str">
        <f>IF(OR(Table1[[#This Row],[currency]]="EUR",Table1[[#This Row],[currency]]="€"),"EUR",IF(OR(Table1[[#This Row],[currency]]="USD",Table1[[#This Row],[currency]]="$"),"USD","Unknown"))</f>
        <v>EUR</v>
      </c>
      <c r="S203" t="s">
        <v>23</v>
      </c>
      <c r="T203" t="str">
        <f>IFERROR(_xlfn.XLOOKUP(Table1[[#This Row],[order_status]],Table8[Original],Table8[Clean],,0,1),"Unknown")</f>
        <v>Delivered</v>
      </c>
      <c r="U203">
        <v>1</v>
      </c>
      <c r="V203">
        <f>IF(ISNUMBER(Table1[[#This Row],[delivery_days]]),Table1[[#This Row],[delivery_days]],IFERROR(_xlfn.XLOOKUP(Table1[[#This Row],[delivery_days]],Table57[Original],Table57[Clean],,0,1),"Unknown"))</f>
        <v>1</v>
      </c>
      <c r="W203" t="s">
        <v>37</v>
      </c>
    </row>
    <row r="204" spans="1:23" x14ac:dyDescent="0.3">
      <c r="A204">
        <v>1202</v>
      </c>
      <c r="B204" t="str">
        <f>IF(ISBLANK(Table1[[#This Row],[order_id]]),"",IF(LEFT(Table1[[#This Row],[order_id]],3)="ORD",Table1[[#This Row],[order_id]],"ORD-" &amp; Table1[[#This Row],[order_id]]))</f>
        <v>ORD-1202</v>
      </c>
      <c r="C204" t="s">
        <v>489</v>
      </c>
      <c r="D204" s="1">
        <f>IFERROR(DATEVALUE(Table1[[#This Row],[order_date]]),"")</f>
        <v>45512</v>
      </c>
      <c r="E204" t="s">
        <v>490</v>
      </c>
      <c r="F204" t="str">
        <f>IF(ISBLANK(Table1[[#This Row],[customer_name]]),"Unknown Customer",PROPER(SUBSTITUTE(Table1[[#This Row],[customer_name]],"Cust.","Customer")))</f>
        <v>Customer 202</v>
      </c>
      <c r="G204" t="s">
        <v>26</v>
      </c>
      <c r="H204" t="str">
        <f>IFERROR(_xlfn.XLOOKUP(Table1[[#This Row],[region]],Mappings!$C$3:$C$8,Mappings!$D$3:$D$8,,0,1),"Unknown")</f>
        <v>Asia</v>
      </c>
      <c r="I204" t="s">
        <v>68</v>
      </c>
      <c r="J204" t="str">
        <f>IFERROR(_xlfn.XLOOKUP(Table1[[#This Row],[sales_channel]],Table4[Original],Table4[Clean],,0,1),"Unknown")</f>
        <v>Online</v>
      </c>
      <c r="K204" t="s">
        <v>51</v>
      </c>
      <c r="L204" t="str">
        <f>IFERROR(_xlfn.XLOOKUP(Table1[[#This Row],[product]],Table3[Original],Table3[Product_clean],,0,1),"Unknown")</f>
        <v>Laptop</v>
      </c>
      <c r="M204" s="6"/>
      <c r="N204" t="str">
        <f>IF(ISNUMBER(Table1[[#This Row],[quantity]]),Table1[[#This Row],[quantity]],IFERROR(VLOOKUP(Table1[[#This Row],[quantity]],Table5[#All],2,FALSE),"Unknown"))</f>
        <v>Unknown</v>
      </c>
      <c r="P204" t="str">
        <f>IFERROR(VALUE(SUBSTITUTE(SUBSTITUTE(SUBSTITUTE(Table1[[#This Row],[revenue]],"EUR",""),"$",""),".",",")),"")</f>
        <v/>
      </c>
      <c r="R204" t="str">
        <f>IF(OR(Table1[[#This Row],[currency]]="EUR",Table1[[#This Row],[currency]]="€"),"EUR",IF(OR(Table1[[#This Row],[currency]]="USD",Table1[[#This Row],[currency]]="$"),"USD","Unknown"))</f>
        <v>Unknown</v>
      </c>
      <c r="S204" t="s">
        <v>35</v>
      </c>
      <c r="T204" t="str">
        <f>IFERROR(_xlfn.XLOOKUP(Table1[[#This Row],[order_status]],Table8[Original],Table8[Clean],,0,1),"Unknown")</f>
        <v>Returned</v>
      </c>
      <c r="U204">
        <v>5</v>
      </c>
      <c r="V204">
        <f>IF(ISNUMBER(Table1[[#This Row],[delivery_days]]),Table1[[#This Row],[delivery_days]],IFERROR(_xlfn.XLOOKUP(Table1[[#This Row],[delivery_days]],Table57[Original],Table57[Clean],,0,1),"Unknown"))</f>
        <v>5</v>
      </c>
    </row>
    <row r="205" spans="1:23" x14ac:dyDescent="0.3">
      <c r="B205" t="str">
        <f>IF(ISBLANK(Table1[[#This Row],[order_id]]),"",IF(LEFT(Table1[[#This Row],[order_id]],3)="ORD",Table1[[#This Row],[order_id]],"ORD-" &amp; Table1[[#This Row],[order_id]]))</f>
        <v/>
      </c>
      <c r="C205" t="s">
        <v>491</v>
      </c>
      <c r="D205" s="1">
        <f>IFERROR(DATEVALUE(Table1[[#This Row],[order_date]]),"")</f>
        <v>45441</v>
      </c>
      <c r="E205" t="s">
        <v>492</v>
      </c>
      <c r="F205" t="str">
        <f>IF(ISBLANK(Table1[[#This Row],[customer_name]]),"Unknown Customer",PROPER(SUBSTITUTE(Table1[[#This Row],[customer_name]],"Cust.","Customer")))</f>
        <v>Customer 203</v>
      </c>
      <c r="H205" t="str">
        <f>IFERROR(_xlfn.XLOOKUP(Table1[[#This Row],[region]],Mappings!$C$3:$C$8,Mappings!$D$3:$D$8,,0,1),"Unknown")</f>
        <v>Unknown</v>
      </c>
      <c r="I205" t="s">
        <v>78</v>
      </c>
      <c r="J205" t="str">
        <f>IFERROR(_xlfn.XLOOKUP(Table1[[#This Row],[sales_channel]],Table4[Original],Table4[Clean],,0,1),"Unknown")</f>
        <v>Mobile</v>
      </c>
      <c r="K205" t="s">
        <v>28</v>
      </c>
      <c r="L205" t="str">
        <f>IFERROR(_xlfn.XLOOKUP(Table1[[#This Row],[product]],Table3[Original],Table3[Product_clean],,0,1),"Unknown")</f>
        <v>Laptop</v>
      </c>
      <c r="M205" s="6">
        <v>2</v>
      </c>
      <c r="N205">
        <f>IF(ISNUMBER(Table1[[#This Row],[quantity]]),Table1[[#This Row],[quantity]],IFERROR(VLOOKUP(Table1[[#This Row],[quantity]],Table5[#All],2,FALSE),"Unknown"))</f>
        <v>2</v>
      </c>
      <c r="O205">
        <v>1270.74</v>
      </c>
      <c r="P205">
        <f>IFERROR(VALUE(SUBSTITUTE(SUBSTITUTE(SUBSTITUTE(Table1[[#This Row],[revenue]],"EUR",""),"$",""),".",",")),"")</f>
        <v>1270.74</v>
      </c>
      <c r="Q205" t="s">
        <v>55</v>
      </c>
      <c r="R205" t="str">
        <f>IF(OR(Table1[[#This Row],[currency]]="EUR",Table1[[#This Row],[currency]]="€"),"EUR",IF(OR(Table1[[#This Row],[currency]]="USD",Table1[[#This Row],[currency]]="$"),"USD","Unknown"))</f>
        <v>EUR</v>
      </c>
      <c r="S205" t="s">
        <v>35</v>
      </c>
      <c r="T205" t="str">
        <f>IFERROR(_xlfn.XLOOKUP(Table1[[#This Row],[order_status]],Table8[Original],Table8[Clean],,0,1),"Unknown")</f>
        <v>Returned</v>
      </c>
      <c r="U205">
        <v>3</v>
      </c>
      <c r="V205">
        <f>IF(ISNUMBER(Table1[[#This Row],[delivery_days]]),Table1[[#This Row],[delivery_days]],IFERROR(_xlfn.XLOOKUP(Table1[[#This Row],[delivery_days]],Table57[Original],Table57[Clean],,0,1),"Unknown"))</f>
        <v>3</v>
      </c>
    </row>
    <row r="206" spans="1:23" x14ac:dyDescent="0.3">
      <c r="A206" t="s">
        <v>493</v>
      </c>
      <c r="B206" t="str">
        <f>IF(ISBLANK(Table1[[#This Row],[order_id]]),"",IF(LEFT(Table1[[#This Row],[order_id]],3)="ORD",Table1[[#This Row],[order_id]],"ORD-" &amp; Table1[[#This Row],[order_id]]))</f>
        <v>ORD-1204</v>
      </c>
      <c r="D206" s="1" t="str">
        <f>IFERROR(DATEVALUE(Table1[[#This Row],[order_date]]),"")</f>
        <v/>
      </c>
      <c r="E206" t="s">
        <v>494</v>
      </c>
      <c r="F206" t="str">
        <f>IF(ISBLANK(Table1[[#This Row],[customer_name]]),"Unknown Customer",PROPER(SUBSTITUTE(Table1[[#This Row],[customer_name]],"Cust.","Customer")))</f>
        <v>Customer 204</v>
      </c>
      <c r="G206" t="s">
        <v>32</v>
      </c>
      <c r="H206" t="str">
        <f>IFERROR(_xlfn.XLOOKUP(Table1[[#This Row],[region]],Mappings!$C$3:$C$8,Mappings!$D$3:$D$8,,0,1),"Unknown")</f>
        <v>Europe</v>
      </c>
      <c r="I206" t="s">
        <v>14</v>
      </c>
      <c r="J206" t="str">
        <f>IFERROR(_xlfn.XLOOKUP(Table1[[#This Row],[sales_channel]],Table4[Original],Table4[Clean],,0,1),"Unknown")</f>
        <v>Online</v>
      </c>
      <c r="K206" t="s">
        <v>102</v>
      </c>
      <c r="L206" t="str">
        <f>IFERROR(_xlfn.XLOOKUP(Table1[[#This Row],[product]],Table3[Original],Table3[Product_clean],,0,1),"Unknown")</f>
        <v>Phone</v>
      </c>
      <c r="M206" s="6">
        <v>3</v>
      </c>
      <c r="N206">
        <f>IF(ISNUMBER(Table1[[#This Row],[quantity]]),Table1[[#This Row],[quantity]],IFERROR(VLOOKUP(Table1[[#This Row],[quantity]],Table5[#All],2,FALSE),"Unknown"))</f>
        <v>3</v>
      </c>
      <c r="P206" t="str">
        <f>IFERROR(VALUE(SUBSTITUTE(SUBSTITUTE(SUBSTITUTE(Table1[[#This Row],[revenue]],"EUR",""),"$",""),".",",")),"")</f>
        <v/>
      </c>
      <c r="Q206" t="s">
        <v>58</v>
      </c>
      <c r="R206" t="str">
        <f>IF(OR(Table1[[#This Row],[currency]]="EUR",Table1[[#This Row],[currency]]="€"),"EUR",IF(OR(Table1[[#This Row],[currency]]="USD",Table1[[#This Row],[currency]]="$"),"USD","Unknown"))</f>
        <v>USD</v>
      </c>
      <c r="T206" t="str">
        <f>IFERROR(_xlfn.XLOOKUP(Table1[[#This Row],[order_status]],Table8[Original],Table8[Clean],,0,1),"Unknown")</f>
        <v>Unknown</v>
      </c>
      <c r="V206" t="str">
        <f>IF(ISNUMBER(Table1[[#This Row],[delivery_days]]),Table1[[#This Row],[delivery_days]],IFERROR(_xlfn.XLOOKUP(Table1[[#This Row],[delivery_days]],Table57[Original],Table57[Clean],,0,1),"Unknown"))</f>
        <v>Unknown</v>
      </c>
    </row>
    <row r="207" spans="1:23" x14ac:dyDescent="0.3">
      <c r="A207">
        <v>1205</v>
      </c>
      <c r="B207" t="str">
        <f>IF(ISBLANK(Table1[[#This Row],[order_id]]),"",IF(LEFT(Table1[[#This Row],[order_id]],3)="ORD",Table1[[#This Row],[order_id]],"ORD-" &amp; Table1[[#This Row],[order_id]]))</f>
        <v>ORD-1205</v>
      </c>
      <c r="C207" t="s">
        <v>495</v>
      </c>
      <c r="D207" s="1">
        <f>IFERROR(DATEVALUE(Table1[[#This Row],[order_date]]),"")</f>
        <v>45596</v>
      </c>
      <c r="E207" t="s">
        <v>496</v>
      </c>
      <c r="F207" t="str">
        <f>IF(ISBLANK(Table1[[#This Row],[customer_name]]),"Unknown Customer",PROPER(SUBSTITUTE(Table1[[#This Row],[customer_name]],"Cust.","Customer")))</f>
        <v>Customer 205</v>
      </c>
      <c r="G207" t="s">
        <v>73</v>
      </c>
      <c r="H207" t="str">
        <f>IFERROR(_xlfn.XLOOKUP(Table1[[#This Row],[region]],Mappings!$C$3:$C$8,Mappings!$D$3:$D$8,,0,1),"Unknown")</f>
        <v>Europe</v>
      </c>
      <c r="I207" t="s">
        <v>78</v>
      </c>
      <c r="J207" t="str">
        <f>IFERROR(_xlfn.XLOOKUP(Table1[[#This Row],[sales_channel]],Table4[Original],Table4[Clean],,0,1),"Unknown")</f>
        <v>Mobile</v>
      </c>
      <c r="K207" t="s">
        <v>102</v>
      </c>
      <c r="L207" t="str">
        <f>IFERROR(_xlfn.XLOOKUP(Table1[[#This Row],[product]],Table3[Original],Table3[Product_clean],,0,1),"Unknown")</f>
        <v>Phone</v>
      </c>
      <c r="M207" s="6"/>
      <c r="N207" t="str">
        <f>IF(ISNUMBER(Table1[[#This Row],[quantity]]),Table1[[#This Row],[quantity]],IFERROR(VLOOKUP(Table1[[#This Row],[quantity]],Table5[#All],2,FALSE),"Unknown"))</f>
        <v>Unknown</v>
      </c>
      <c r="P207" t="str">
        <f>IFERROR(VALUE(SUBSTITUTE(SUBSTITUTE(SUBSTITUTE(Table1[[#This Row],[revenue]],"EUR",""),"$",""),".",",")),"")</f>
        <v/>
      </c>
      <c r="Q207" t="s">
        <v>22</v>
      </c>
      <c r="R207" t="str">
        <f>IF(OR(Table1[[#This Row],[currency]]="EUR",Table1[[#This Row],[currency]]="€"),"EUR",IF(OR(Table1[[#This Row],[currency]]="USD",Table1[[#This Row],[currency]]="$"),"USD","Unknown"))</f>
        <v>USD</v>
      </c>
      <c r="S207" t="s">
        <v>35</v>
      </c>
      <c r="T207" t="str">
        <f>IFERROR(_xlfn.XLOOKUP(Table1[[#This Row],[order_status]],Table8[Original],Table8[Clean],,0,1),"Unknown")</f>
        <v>Returned</v>
      </c>
      <c r="U207">
        <v>5</v>
      </c>
      <c r="V207">
        <f>IF(ISNUMBER(Table1[[#This Row],[delivery_days]]),Table1[[#This Row],[delivery_days]],IFERROR(_xlfn.XLOOKUP(Table1[[#This Row],[delivery_days]],Table57[Original],Table57[Clean],,0,1),"Unknown"))</f>
        <v>5</v>
      </c>
      <c r="W207" t="s">
        <v>24</v>
      </c>
    </row>
    <row r="208" spans="1:23" x14ac:dyDescent="0.3">
      <c r="A208" t="s">
        <v>497</v>
      </c>
      <c r="B208" t="str">
        <f>IF(ISBLANK(Table1[[#This Row],[order_id]]),"",IF(LEFT(Table1[[#This Row],[order_id]],3)="ORD",Table1[[#This Row],[order_id]],"ORD-" &amp; Table1[[#This Row],[order_id]]))</f>
        <v>ORD-1206</v>
      </c>
      <c r="C208" t="s">
        <v>253</v>
      </c>
      <c r="D208" s="1">
        <f>IFERROR(DATEVALUE(Table1[[#This Row],[order_date]]),"")</f>
        <v>45512</v>
      </c>
      <c r="E208" t="s">
        <v>498</v>
      </c>
      <c r="F208" t="str">
        <f>IF(ISBLANK(Table1[[#This Row],[customer_name]]),"Unknown Customer",PROPER(SUBSTITUTE(Table1[[#This Row],[customer_name]],"Cust.","Customer")))</f>
        <v>Customer 206</v>
      </c>
      <c r="G208" t="s">
        <v>32</v>
      </c>
      <c r="H208" t="str">
        <f>IFERROR(_xlfn.XLOOKUP(Table1[[#This Row],[region]],Mappings!$C$3:$C$8,Mappings!$D$3:$D$8,,0,1),"Unknown")</f>
        <v>Europe</v>
      </c>
      <c r="I208" t="s">
        <v>50</v>
      </c>
      <c r="J208" t="str">
        <f>IFERROR(_xlfn.XLOOKUP(Table1[[#This Row],[sales_channel]],Table4[Original],Table4[Clean],,0,1),"Unknown")</f>
        <v>Mobile</v>
      </c>
      <c r="K208" t="s">
        <v>28</v>
      </c>
      <c r="L208" t="str">
        <f>IFERROR(_xlfn.XLOOKUP(Table1[[#This Row],[product]],Table3[Original],Table3[Product_clean],,0,1),"Unknown")</f>
        <v>Laptop</v>
      </c>
      <c r="M208" s="6" t="s">
        <v>83</v>
      </c>
      <c r="N208">
        <f>IF(ISNUMBER(Table1[[#This Row],[quantity]]),Table1[[#This Row],[quantity]],IFERROR(VLOOKUP(Table1[[#This Row],[quantity]],Table5[#All],2,FALSE),"Unknown"))</f>
        <v>2</v>
      </c>
      <c r="O208" t="s">
        <v>499</v>
      </c>
      <c r="P208">
        <f>IFERROR(VALUE(SUBSTITUTE(SUBSTITUTE(SUBSTITUTE(Table1[[#This Row],[revenue]],"EUR",""),"$",""),".",",")),"")</f>
        <v>2455.65</v>
      </c>
      <c r="Q208" t="s">
        <v>55</v>
      </c>
      <c r="R208" t="str">
        <f>IF(OR(Table1[[#This Row],[currency]]="EUR",Table1[[#This Row],[currency]]="€"),"EUR",IF(OR(Table1[[#This Row],[currency]]="USD",Table1[[#This Row],[currency]]="$"),"USD","Unknown"))</f>
        <v>EUR</v>
      </c>
      <c r="S208" t="s">
        <v>35</v>
      </c>
      <c r="T208" t="str">
        <f>IFERROR(_xlfn.XLOOKUP(Table1[[#This Row],[order_status]],Table8[Original],Table8[Clean],,0,1),"Unknown")</f>
        <v>Returned</v>
      </c>
      <c r="V208" t="str">
        <f>IF(ISNUMBER(Table1[[#This Row],[delivery_days]]),Table1[[#This Row],[delivery_days]],IFERROR(_xlfn.XLOOKUP(Table1[[#This Row],[delivery_days]],Table57[Original],Table57[Clean],,0,1),"Unknown"))</f>
        <v>Unknown</v>
      </c>
    </row>
    <row r="209" spans="1:23" x14ac:dyDescent="0.3">
      <c r="A209" t="s">
        <v>500</v>
      </c>
      <c r="B209" t="str">
        <f>IF(ISBLANK(Table1[[#This Row],[order_id]]),"",IF(LEFT(Table1[[#This Row],[order_id]],3)="ORD",Table1[[#This Row],[order_id]],"ORD-" &amp; Table1[[#This Row],[order_id]]))</f>
        <v>ORD-1207</v>
      </c>
      <c r="C209" t="s">
        <v>501</v>
      </c>
      <c r="D209" s="1" t="str">
        <f>IFERROR(DATEVALUE(Table1[[#This Row],[order_date]]),"")</f>
        <v/>
      </c>
      <c r="F209" t="str">
        <f>IF(ISBLANK(Table1[[#This Row],[customer_name]]),"Unknown Customer",PROPER(SUBSTITUTE(Table1[[#This Row],[customer_name]],"Cust.","Customer")))</f>
        <v>Unknown Customer</v>
      </c>
      <c r="G209" t="s">
        <v>26</v>
      </c>
      <c r="H209" t="str">
        <f>IFERROR(_xlfn.XLOOKUP(Table1[[#This Row],[region]],Mappings!$C$3:$C$8,Mappings!$D$3:$D$8,,0,1),"Unknown")</f>
        <v>Asia</v>
      </c>
      <c r="I209" t="s">
        <v>14</v>
      </c>
      <c r="J209" t="str">
        <f>IFERROR(_xlfn.XLOOKUP(Table1[[#This Row],[sales_channel]],Table4[Original],Table4[Clean],,0,1),"Unknown")</f>
        <v>Online</v>
      </c>
      <c r="K209" t="s">
        <v>33</v>
      </c>
      <c r="L209" t="str">
        <f>IFERROR(_xlfn.XLOOKUP(Table1[[#This Row],[product]],Table3[Original],Table3[Product_clean],,0,1),"Unknown")</f>
        <v>Tablet</v>
      </c>
      <c r="M209" s="6">
        <v>2</v>
      </c>
      <c r="N209">
        <f>IF(ISNUMBER(Table1[[#This Row],[quantity]]),Table1[[#This Row],[quantity]],IFERROR(VLOOKUP(Table1[[#This Row],[quantity]],Table5[#All],2,FALSE),"Unknown"))</f>
        <v>2</v>
      </c>
      <c r="O209" t="s">
        <v>502</v>
      </c>
      <c r="P209">
        <f>IFERROR(VALUE(SUBSTITUTE(SUBSTITUTE(SUBSTITUTE(Table1[[#This Row],[revenue]],"EUR",""),"$",""),".",",")),"")</f>
        <v>2356.8200000000002</v>
      </c>
      <c r="R209" t="str">
        <f>IF(OR(Table1[[#This Row],[currency]]="EUR",Table1[[#This Row],[currency]]="€"),"EUR",IF(OR(Table1[[#This Row],[currency]]="USD",Table1[[#This Row],[currency]]="$"),"USD","Unknown"))</f>
        <v>Unknown</v>
      </c>
      <c r="S209" t="s">
        <v>18</v>
      </c>
      <c r="T209" t="str">
        <f>IFERROR(_xlfn.XLOOKUP(Table1[[#This Row],[order_status]],Table8[Original],Table8[Clean],,0,1),"Unknown")</f>
        <v>Pending</v>
      </c>
      <c r="U209">
        <v>2</v>
      </c>
      <c r="V209">
        <f>IF(ISNUMBER(Table1[[#This Row],[delivery_days]]),Table1[[#This Row],[delivery_days]],IFERROR(_xlfn.XLOOKUP(Table1[[#This Row],[delivery_days]],Table57[Original],Table57[Clean],,0,1),"Unknown"))</f>
        <v>2</v>
      </c>
    </row>
    <row r="210" spans="1:23" x14ac:dyDescent="0.3">
      <c r="A210" t="s">
        <v>503</v>
      </c>
      <c r="B210" t="str">
        <f>IF(ISBLANK(Table1[[#This Row],[order_id]]),"",IF(LEFT(Table1[[#This Row],[order_id]],3)="ORD",Table1[[#This Row],[order_id]],"ORD-" &amp; Table1[[#This Row],[order_id]]))</f>
        <v>ORD-1208</v>
      </c>
      <c r="C210" t="s">
        <v>504</v>
      </c>
      <c r="D210" s="1">
        <f>IFERROR(DATEVALUE(Table1[[#This Row],[order_date]]),"")</f>
        <v>45839</v>
      </c>
      <c r="E210" t="s">
        <v>505</v>
      </c>
      <c r="F210" t="str">
        <f>IF(ISBLANK(Table1[[#This Row],[customer_name]]),"Unknown Customer",PROPER(SUBSTITUTE(Table1[[#This Row],[customer_name]],"Cust.","Customer")))</f>
        <v>Customer 208</v>
      </c>
      <c r="H210" t="str">
        <f>IFERROR(_xlfn.XLOOKUP(Table1[[#This Row],[region]],Mappings!$C$3:$C$8,Mappings!$D$3:$D$8,,0,1),"Unknown")</f>
        <v>Unknown</v>
      </c>
      <c r="I210" t="s">
        <v>78</v>
      </c>
      <c r="J210" t="str">
        <f>IFERROR(_xlfn.XLOOKUP(Table1[[#This Row],[sales_channel]],Table4[Original],Table4[Clean],,0,1),"Unknown")</f>
        <v>Mobile</v>
      </c>
      <c r="K210" t="s">
        <v>15</v>
      </c>
      <c r="L210" t="str">
        <f>IFERROR(_xlfn.XLOOKUP(Table1[[#This Row],[product]],Table3[Original],Table3[Product_clean],,0,1),"Unknown")</f>
        <v>Tablet</v>
      </c>
      <c r="M210" s="6" t="s">
        <v>83</v>
      </c>
      <c r="N210">
        <f>IF(ISNUMBER(Table1[[#This Row],[quantity]]),Table1[[#This Row],[quantity]],IFERROR(VLOOKUP(Table1[[#This Row],[quantity]],Table5[#All],2,FALSE),"Unknown"))</f>
        <v>2</v>
      </c>
      <c r="O210" t="s">
        <v>506</v>
      </c>
      <c r="P210">
        <f>IFERROR(VALUE(SUBSTITUTE(SUBSTITUTE(SUBSTITUTE(Table1[[#This Row],[revenue]],"EUR",""),"$",""),".",",")),"")</f>
        <v>1411.79</v>
      </c>
      <c r="Q210" t="s">
        <v>58</v>
      </c>
      <c r="R210" t="str">
        <f>IF(OR(Table1[[#This Row],[currency]]="EUR",Table1[[#This Row],[currency]]="€"),"EUR",IF(OR(Table1[[#This Row],[currency]]="USD",Table1[[#This Row],[currency]]="$"),"USD","Unknown"))</f>
        <v>USD</v>
      </c>
      <c r="T210" t="str">
        <f>IFERROR(_xlfn.XLOOKUP(Table1[[#This Row],[order_status]],Table8[Original],Table8[Clean],,0,1),"Unknown")</f>
        <v>Unknown</v>
      </c>
      <c r="U210">
        <v>3</v>
      </c>
      <c r="V210">
        <f>IF(ISNUMBER(Table1[[#This Row],[delivery_days]]),Table1[[#This Row],[delivery_days]],IFERROR(_xlfn.XLOOKUP(Table1[[#This Row],[delivery_days]],Table57[Original],Table57[Clean],,0,1),"Unknown"))</f>
        <v>3</v>
      </c>
      <c r="W210" t="s">
        <v>37</v>
      </c>
    </row>
    <row r="211" spans="1:23" x14ac:dyDescent="0.3">
      <c r="A211" t="s">
        <v>507</v>
      </c>
      <c r="B211" t="str">
        <f>IF(ISBLANK(Table1[[#This Row],[order_id]]),"",IF(LEFT(Table1[[#This Row],[order_id]],3)="ORD",Table1[[#This Row],[order_id]],"ORD-" &amp; Table1[[#This Row],[order_id]]))</f>
        <v>ORD-1209</v>
      </c>
      <c r="C211" t="s">
        <v>508</v>
      </c>
      <c r="D211" s="1">
        <f>IFERROR(DATEVALUE(Table1[[#This Row],[order_date]]),"")</f>
        <v>45421</v>
      </c>
      <c r="F211" t="str">
        <f>IF(ISBLANK(Table1[[#This Row],[customer_name]]),"Unknown Customer",PROPER(SUBSTITUTE(Table1[[#This Row],[customer_name]],"Cust.","Customer")))</f>
        <v>Unknown Customer</v>
      </c>
      <c r="G211" t="s">
        <v>45</v>
      </c>
      <c r="H211" t="str">
        <f>IFERROR(_xlfn.XLOOKUP(Table1[[#This Row],[region]],Mappings!$C$3:$C$8,Mappings!$D$3:$D$8,,0,1),"Unknown")</f>
        <v>USA</v>
      </c>
      <c r="I211" t="s">
        <v>78</v>
      </c>
      <c r="J211" t="str">
        <f>IFERROR(_xlfn.XLOOKUP(Table1[[#This Row],[sales_channel]],Table4[Original],Table4[Clean],,0,1),"Unknown")</f>
        <v>Mobile</v>
      </c>
      <c r="K211" t="s">
        <v>33</v>
      </c>
      <c r="L211" t="str">
        <f>IFERROR(_xlfn.XLOOKUP(Table1[[#This Row],[product]],Table3[Original],Table3[Product_clean],,0,1),"Unknown")</f>
        <v>Tablet</v>
      </c>
      <c r="M211" s="6" t="s">
        <v>83</v>
      </c>
      <c r="N211">
        <f>IF(ISNUMBER(Table1[[#This Row],[quantity]]),Table1[[#This Row],[quantity]],IFERROR(VLOOKUP(Table1[[#This Row],[quantity]],Table5[#All],2,FALSE),"Unknown"))</f>
        <v>2</v>
      </c>
      <c r="P211" t="str">
        <f>IFERROR(VALUE(SUBSTITUTE(SUBSTITUTE(SUBSTITUTE(Table1[[#This Row],[revenue]],"EUR",""),"$",""),".",",")),"")</f>
        <v/>
      </c>
      <c r="R211" t="str">
        <f>IF(OR(Table1[[#This Row],[currency]]="EUR",Table1[[#This Row],[currency]]="€"),"EUR",IF(OR(Table1[[#This Row],[currency]]="USD",Table1[[#This Row],[currency]]="$"),"USD","Unknown"))</f>
        <v>Unknown</v>
      </c>
      <c r="S211" t="s">
        <v>18</v>
      </c>
      <c r="T211" t="str">
        <f>IFERROR(_xlfn.XLOOKUP(Table1[[#This Row],[order_status]],Table8[Original],Table8[Clean],,0,1),"Unknown")</f>
        <v>Pending</v>
      </c>
      <c r="V211" t="str">
        <f>IF(ISNUMBER(Table1[[#This Row],[delivery_days]]),Table1[[#This Row],[delivery_days]],IFERROR(_xlfn.XLOOKUP(Table1[[#This Row],[delivery_days]],Table57[Original],Table57[Clean],,0,1),"Unknown"))</f>
        <v>Unknown</v>
      </c>
    </row>
    <row r="212" spans="1:23" x14ac:dyDescent="0.3">
      <c r="B212" t="str">
        <f>IF(ISBLANK(Table1[[#This Row],[order_id]]),"",IF(LEFT(Table1[[#This Row],[order_id]],3)="ORD",Table1[[#This Row],[order_id]],"ORD-" &amp; Table1[[#This Row],[order_id]]))</f>
        <v/>
      </c>
      <c r="C212" t="s">
        <v>509</v>
      </c>
      <c r="D212" s="1">
        <f>IFERROR(DATEVALUE(Table1[[#This Row],[order_date]]),"")</f>
        <v>45570</v>
      </c>
      <c r="E212" t="s">
        <v>510</v>
      </c>
      <c r="F212" t="str">
        <f>IF(ISBLANK(Table1[[#This Row],[customer_name]]),"Unknown Customer",PROPER(SUBSTITUTE(Table1[[#This Row],[customer_name]],"Cust.","Customer")))</f>
        <v>Customer 210</v>
      </c>
      <c r="H212" t="str">
        <f>IFERROR(_xlfn.XLOOKUP(Table1[[#This Row],[region]],Mappings!$C$3:$C$8,Mappings!$D$3:$D$8,,0,1),"Unknown")</f>
        <v>Unknown</v>
      </c>
      <c r="I212" t="s">
        <v>27</v>
      </c>
      <c r="J212" t="str">
        <f>IFERROR(_xlfn.XLOOKUP(Table1[[#This Row],[sales_channel]],Table4[Original],Table4[Clean],,0,1),"Unknown")</f>
        <v>Online</v>
      </c>
      <c r="K212" t="s">
        <v>15</v>
      </c>
      <c r="L212" t="str">
        <f>IFERROR(_xlfn.XLOOKUP(Table1[[#This Row],[product]],Table3[Original],Table3[Product_clean],,0,1),"Unknown")</f>
        <v>Tablet</v>
      </c>
      <c r="M212" s="6">
        <v>3</v>
      </c>
      <c r="N212">
        <f>IF(ISNUMBER(Table1[[#This Row],[quantity]]),Table1[[#This Row],[quantity]],IFERROR(VLOOKUP(Table1[[#This Row],[quantity]],Table5[#All],2,FALSE),"Unknown"))</f>
        <v>3</v>
      </c>
      <c r="O212" t="s">
        <v>511</v>
      </c>
      <c r="P212">
        <f>IFERROR(VALUE(SUBSTITUTE(SUBSTITUTE(SUBSTITUTE(Table1[[#This Row],[revenue]],"EUR",""),"$",""),".",",")),"")</f>
        <v>158.46</v>
      </c>
      <c r="Q212" t="s">
        <v>58</v>
      </c>
      <c r="R212" t="str">
        <f>IF(OR(Table1[[#This Row],[currency]]="EUR",Table1[[#This Row],[currency]]="€"),"EUR",IF(OR(Table1[[#This Row],[currency]]="USD",Table1[[#This Row],[currency]]="$"),"USD","Unknown"))</f>
        <v>USD</v>
      </c>
      <c r="T212" t="str">
        <f>IFERROR(_xlfn.XLOOKUP(Table1[[#This Row],[order_status]],Table8[Original],Table8[Clean],,0,1),"Unknown")</f>
        <v>Unknown</v>
      </c>
      <c r="U212" t="s">
        <v>36</v>
      </c>
      <c r="V212">
        <f>IF(ISNUMBER(Table1[[#This Row],[delivery_days]]),Table1[[#This Row],[delivery_days]],IFERROR(_xlfn.XLOOKUP(Table1[[#This Row],[delivery_days]],Table57[Original],Table57[Clean],,0,1),"Unknown"))</f>
        <v>5</v>
      </c>
    </row>
    <row r="213" spans="1:23" x14ac:dyDescent="0.3">
      <c r="A213" t="s">
        <v>512</v>
      </c>
      <c r="B213" t="str">
        <f>IF(ISBLANK(Table1[[#This Row],[order_id]]),"",IF(LEFT(Table1[[#This Row],[order_id]],3)="ORD",Table1[[#This Row],[order_id]],"ORD-" &amp; Table1[[#This Row],[order_id]]))</f>
        <v>ORD-1211</v>
      </c>
      <c r="D213" s="1" t="str">
        <f>IFERROR(DATEVALUE(Table1[[#This Row],[order_date]]),"")</f>
        <v/>
      </c>
      <c r="E213" t="s">
        <v>513</v>
      </c>
      <c r="F213" t="str">
        <f>IF(ISBLANK(Table1[[#This Row],[customer_name]]),"Unknown Customer",PROPER(SUBSTITUTE(Table1[[#This Row],[customer_name]],"Cust.","Customer")))</f>
        <v>Customer 211</v>
      </c>
      <c r="G213" t="s">
        <v>73</v>
      </c>
      <c r="H213" t="str">
        <f>IFERROR(_xlfn.XLOOKUP(Table1[[#This Row],[region]],Mappings!$C$3:$C$8,Mappings!$D$3:$D$8,,0,1),"Unknown")</f>
        <v>Europe</v>
      </c>
      <c r="I213" t="s">
        <v>14</v>
      </c>
      <c r="J213" t="str">
        <f>IFERROR(_xlfn.XLOOKUP(Table1[[#This Row],[sales_channel]],Table4[Original],Table4[Clean],,0,1),"Unknown")</f>
        <v>Online</v>
      </c>
      <c r="K213" t="s">
        <v>102</v>
      </c>
      <c r="L213" t="str">
        <f>IFERROR(_xlfn.XLOOKUP(Table1[[#This Row],[product]],Table3[Original],Table3[Product_clean],,0,1),"Unknown")</f>
        <v>Phone</v>
      </c>
      <c r="M213" s="6">
        <v>2</v>
      </c>
      <c r="N213">
        <f>IF(ISNUMBER(Table1[[#This Row],[quantity]]),Table1[[#This Row],[quantity]],IFERROR(VLOOKUP(Table1[[#This Row],[quantity]],Table5[#All],2,FALSE),"Unknown"))</f>
        <v>2</v>
      </c>
      <c r="P213" t="str">
        <f>IFERROR(VALUE(SUBSTITUTE(SUBSTITUTE(SUBSTITUTE(Table1[[#This Row],[revenue]],"EUR",""),"$",""),".",",")),"")</f>
        <v/>
      </c>
      <c r="R213" t="str">
        <f>IF(OR(Table1[[#This Row],[currency]]="EUR",Table1[[#This Row],[currency]]="€"),"EUR",IF(OR(Table1[[#This Row],[currency]]="USD",Table1[[#This Row],[currency]]="$"),"USD","Unknown"))</f>
        <v>Unknown</v>
      </c>
      <c r="T213" t="str">
        <f>IFERROR(_xlfn.XLOOKUP(Table1[[#This Row],[order_status]],Table8[Original],Table8[Clean],,0,1),"Unknown")</f>
        <v>Unknown</v>
      </c>
      <c r="U213" t="s">
        <v>36</v>
      </c>
      <c r="V213">
        <f>IF(ISNUMBER(Table1[[#This Row],[delivery_days]]),Table1[[#This Row],[delivery_days]],IFERROR(_xlfn.XLOOKUP(Table1[[#This Row],[delivery_days]],Table57[Original],Table57[Clean],,0,1),"Unknown"))</f>
        <v>5</v>
      </c>
      <c r="W213" t="s">
        <v>37</v>
      </c>
    </row>
    <row r="214" spans="1:23" x14ac:dyDescent="0.3">
      <c r="B214" t="str">
        <f>IF(ISBLANK(Table1[[#This Row],[order_id]]),"",IF(LEFT(Table1[[#This Row],[order_id]],3)="ORD",Table1[[#This Row],[order_id]],"ORD-" &amp; Table1[[#This Row],[order_id]]))</f>
        <v/>
      </c>
      <c r="C214" t="s">
        <v>514</v>
      </c>
      <c r="D214" s="1">
        <f>IFERROR(DATEVALUE(Table1[[#This Row],[order_date]]),"")</f>
        <v>45520</v>
      </c>
      <c r="E214" t="s">
        <v>515</v>
      </c>
      <c r="F214" t="str">
        <f>IF(ISBLANK(Table1[[#This Row],[customer_name]]),"Unknown Customer",PROPER(SUBSTITUTE(Table1[[#This Row],[customer_name]],"Cust.","Customer")))</f>
        <v>Customer 212</v>
      </c>
      <c r="G214" t="s">
        <v>73</v>
      </c>
      <c r="H214" t="str">
        <f>IFERROR(_xlfn.XLOOKUP(Table1[[#This Row],[region]],Mappings!$C$3:$C$8,Mappings!$D$3:$D$8,,0,1),"Unknown")</f>
        <v>Europe</v>
      </c>
      <c r="I214" t="s">
        <v>78</v>
      </c>
      <c r="J214" t="str">
        <f>IFERROR(_xlfn.XLOOKUP(Table1[[#This Row],[sales_channel]],Table4[Original],Table4[Clean],,0,1),"Unknown")</f>
        <v>Mobile</v>
      </c>
      <c r="K214" t="s">
        <v>51</v>
      </c>
      <c r="L214" t="str">
        <f>IFERROR(_xlfn.XLOOKUP(Table1[[#This Row],[product]],Table3[Original],Table3[Product_clean],,0,1),"Unknown")</f>
        <v>Laptop</v>
      </c>
      <c r="M214" s="6">
        <v>3</v>
      </c>
      <c r="N214">
        <f>IF(ISNUMBER(Table1[[#This Row],[quantity]]),Table1[[#This Row],[quantity]],IFERROR(VLOOKUP(Table1[[#This Row],[quantity]],Table5[#All],2,FALSE),"Unknown"))</f>
        <v>3</v>
      </c>
      <c r="P214" t="str">
        <f>IFERROR(VALUE(SUBSTITUTE(SUBSTITUTE(SUBSTITUTE(Table1[[#This Row],[revenue]],"EUR",""),"$",""),".",",")),"")</f>
        <v/>
      </c>
      <c r="Q214" t="s">
        <v>22</v>
      </c>
      <c r="R214" t="str">
        <f>IF(OR(Table1[[#This Row],[currency]]="EUR",Table1[[#This Row],[currency]]="€"),"EUR",IF(OR(Table1[[#This Row],[currency]]="USD",Table1[[#This Row],[currency]]="$"),"USD","Unknown"))</f>
        <v>USD</v>
      </c>
      <c r="S214" t="s">
        <v>30</v>
      </c>
      <c r="T214" t="str">
        <f>IFERROR(_xlfn.XLOOKUP(Table1[[#This Row],[order_status]],Table8[Original],Table8[Clean],,0,1),"Unknown")</f>
        <v>Delivered</v>
      </c>
      <c r="U214">
        <v>1</v>
      </c>
      <c r="V214">
        <f>IF(ISNUMBER(Table1[[#This Row],[delivery_days]]),Table1[[#This Row],[delivery_days]],IFERROR(_xlfn.XLOOKUP(Table1[[#This Row],[delivery_days]],Table57[Original],Table57[Clean],,0,1),"Unknown"))</f>
        <v>1</v>
      </c>
      <c r="W214" t="s">
        <v>37</v>
      </c>
    </row>
    <row r="215" spans="1:23" x14ac:dyDescent="0.3">
      <c r="A215">
        <v>1213</v>
      </c>
      <c r="B215" t="str">
        <f>IF(ISBLANK(Table1[[#This Row],[order_id]]),"",IF(LEFT(Table1[[#This Row],[order_id]],3)="ORD",Table1[[#This Row],[order_id]],"ORD-" &amp; Table1[[#This Row],[order_id]]))</f>
        <v>ORD-1213</v>
      </c>
      <c r="D215" s="1" t="str">
        <f>IFERROR(DATEVALUE(Table1[[#This Row],[order_date]]),"")</f>
        <v/>
      </c>
      <c r="E215" t="s">
        <v>516</v>
      </c>
      <c r="F215" t="str">
        <f>IF(ISBLANK(Table1[[#This Row],[customer_name]]),"Unknown Customer",PROPER(SUBSTITUTE(Table1[[#This Row],[customer_name]],"Cust.","Customer")))</f>
        <v>Customer 213</v>
      </c>
      <c r="G215" t="s">
        <v>32</v>
      </c>
      <c r="H215" t="str">
        <f>IFERROR(_xlfn.XLOOKUP(Table1[[#This Row],[region]],Mappings!$C$3:$C$8,Mappings!$D$3:$D$8,,0,1),"Unknown")</f>
        <v>Europe</v>
      </c>
      <c r="I215" t="s">
        <v>14</v>
      </c>
      <c r="J215" t="str">
        <f>IFERROR(_xlfn.XLOOKUP(Table1[[#This Row],[sales_channel]],Table4[Original],Table4[Clean],,0,1),"Unknown")</f>
        <v>Online</v>
      </c>
      <c r="K215" t="s">
        <v>41</v>
      </c>
      <c r="L215" t="str">
        <f>IFERROR(_xlfn.XLOOKUP(Table1[[#This Row],[product]],Table3[Original],Table3[Product_clean],,0,1),"Unknown")</f>
        <v>Phone</v>
      </c>
      <c r="M215" s="6" t="s">
        <v>83</v>
      </c>
      <c r="N215">
        <f>IF(ISNUMBER(Table1[[#This Row],[quantity]]),Table1[[#This Row],[quantity]],IFERROR(VLOOKUP(Table1[[#This Row],[quantity]],Table5[#All],2,FALSE),"Unknown"))</f>
        <v>2</v>
      </c>
      <c r="P215" t="str">
        <f>IFERROR(VALUE(SUBSTITUTE(SUBSTITUTE(SUBSTITUTE(Table1[[#This Row],[revenue]],"EUR",""),"$",""),".",",")),"")</f>
        <v/>
      </c>
      <c r="Q215" t="s">
        <v>55</v>
      </c>
      <c r="R215" t="str">
        <f>IF(OR(Table1[[#This Row],[currency]]="EUR",Table1[[#This Row],[currency]]="€"),"EUR",IF(OR(Table1[[#This Row],[currency]]="USD",Table1[[#This Row],[currency]]="$"),"USD","Unknown"))</f>
        <v>EUR</v>
      </c>
      <c r="S215" t="s">
        <v>30</v>
      </c>
      <c r="T215" t="str">
        <f>IFERROR(_xlfn.XLOOKUP(Table1[[#This Row],[order_status]],Table8[Original],Table8[Clean],,0,1),"Unknown")</f>
        <v>Delivered</v>
      </c>
      <c r="U215">
        <v>3</v>
      </c>
      <c r="V215">
        <f>IF(ISNUMBER(Table1[[#This Row],[delivery_days]]),Table1[[#This Row],[delivery_days]],IFERROR(_xlfn.XLOOKUP(Table1[[#This Row],[delivery_days]],Table57[Original],Table57[Clean],,0,1),"Unknown"))</f>
        <v>3</v>
      </c>
    </row>
    <row r="216" spans="1:23" x14ac:dyDescent="0.3">
      <c r="A216" t="s">
        <v>517</v>
      </c>
      <c r="B216" t="str">
        <f>IF(ISBLANK(Table1[[#This Row],[order_id]]),"",IF(LEFT(Table1[[#This Row],[order_id]],3)="ORD",Table1[[#This Row],[order_id]],"ORD-" &amp; Table1[[#This Row],[order_id]]))</f>
        <v>ORD-1214</v>
      </c>
      <c r="C216" t="s">
        <v>518</v>
      </c>
      <c r="D216" s="1">
        <f>IFERROR(DATEVALUE(Table1[[#This Row],[order_date]]),"")</f>
        <v>45706</v>
      </c>
      <c r="E216" t="s">
        <v>519</v>
      </c>
      <c r="F216" t="str">
        <f>IF(ISBLANK(Table1[[#This Row],[customer_name]]),"Unknown Customer",PROPER(SUBSTITUTE(Table1[[#This Row],[customer_name]],"Cust.","Customer")))</f>
        <v>Customer 214</v>
      </c>
      <c r="H216" t="str">
        <f>IFERROR(_xlfn.XLOOKUP(Table1[[#This Row],[region]],Mappings!$C$3:$C$8,Mappings!$D$3:$D$8,,0,1),"Unknown")</f>
        <v>Unknown</v>
      </c>
      <c r="I216" t="s">
        <v>27</v>
      </c>
      <c r="J216" t="str">
        <f>IFERROR(_xlfn.XLOOKUP(Table1[[#This Row],[sales_channel]],Table4[Original],Table4[Clean],,0,1),"Unknown")</f>
        <v>Online</v>
      </c>
      <c r="K216" t="s">
        <v>33</v>
      </c>
      <c r="L216" t="str">
        <f>IFERROR(_xlfn.XLOOKUP(Table1[[#This Row],[product]],Table3[Original],Table3[Product_clean],,0,1),"Unknown")</f>
        <v>Tablet</v>
      </c>
      <c r="M216" s="6">
        <v>2</v>
      </c>
      <c r="N216">
        <f>IF(ISNUMBER(Table1[[#This Row],[quantity]]),Table1[[#This Row],[quantity]],IFERROR(VLOOKUP(Table1[[#This Row],[quantity]],Table5[#All],2,FALSE),"Unknown"))</f>
        <v>2</v>
      </c>
      <c r="O216">
        <v>2146.8000000000002</v>
      </c>
      <c r="P216">
        <f>IFERROR(VALUE(SUBSTITUTE(SUBSTITUTE(SUBSTITUTE(Table1[[#This Row],[revenue]],"EUR",""),"$",""),".",",")),"")</f>
        <v>2146.8000000000002</v>
      </c>
      <c r="R216" t="str">
        <f>IF(OR(Table1[[#This Row],[currency]]="EUR",Table1[[#This Row],[currency]]="€"),"EUR",IF(OR(Table1[[#This Row],[currency]]="USD",Table1[[#This Row],[currency]]="$"),"USD","Unknown"))</f>
        <v>Unknown</v>
      </c>
      <c r="S216" t="s">
        <v>23</v>
      </c>
      <c r="T216" t="str">
        <f>IFERROR(_xlfn.XLOOKUP(Table1[[#This Row],[order_status]],Table8[Original],Table8[Clean],,0,1),"Unknown")</f>
        <v>Delivered</v>
      </c>
      <c r="U216">
        <v>3</v>
      </c>
      <c r="V216">
        <f>IF(ISNUMBER(Table1[[#This Row],[delivery_days]]),Table1[[#This Row],[delivery_days]],IFERROR(_xlfn.XLOOKUP(Table1[[#This Row],[delivery_days]],Table57[Original],Table57[Clean],,0,1),"Unknown"))</f>
        <v>3</v>
      </c>
    </row>
    <row r="217" spans="1:23" x14ac:dyDescent="0.3">
      <c r="B217" t="str">
        <f>IF(ISBLANK(Table1[[#This Row],[order_id]]),"",IF(LEFT(Table1[[#This Row],[order_id]],3)="ORD",Table1[[#This Row],[order_id]],"ORD-" &amp; Table1[[#This Row],[order_id]]))</f>
        <v/>
      </c>
      <c r="C217" t="s">
        <v>520</v>
      </c>
      <c r="D217" s="1">
        <f>IFERROR(DATEVALUE(Table1[[#This Row],[order_date]]),"")</f>
        <v>45528</v>
      </c>
      <c r="E217" t="s">
        <v>521</v>
      </c>
      <c r="F217" t="str">
        <f>IF(ISBLANK(Table1[[#This Row],[customer_name]]),"Unknown Customer",PROPER(SUBSTITUTE(Table1[[#This Row],[customer_name]],"Cust.","Customer")))</f>
        <v>Customer 215</v>
      </c>
      <c r="H217" t="str">
        <f>IFERROR(_xlfn.XLOOKUP(Table1[[#This Row],[region]],Mappings!$C$3:$C$8,Mappings!$D$3:$D$8,,0,1),"Unknown")</f>
        <v>Unknown</v>
      </c>
      <c r="J217" t="str">
        <f>IFERROR(_xlfn.XLOOKUP(Table1[[#This Row],[sales_channel]],Table4[Original],Table4[Clean],,0,1),"Unknown")</f>
        <v>Unknown</v>
      </c>
      <c r="K217" t="s">
        <v>41</v>
      </c>
      <c r="L217" t="str">
        <f>IFERROR(_xlfn.XLOOKUP(Table1[[#This Row],[product]],Table3[Original],Table3[Product_clean],,0,1),"Unknown")</f>
        <v>Phone</v>
      </c>
      <c r="M217" s="6" t="s">
        <v>83</v>
      </c>
      <c r="N217">
        <f>IF(ISNUMBER(Table1[[#This Row],[quantity]]),Table1[[#This Row],[quantity]],IFERROR(VLOOKUP(Table1[[#This Row],[quantity]],Table5[#All],2,FALSE),"Unknown"))</f>
        <v>2</v>
      </c>
      <c r="P217" t="str">
        <f>IFERROR(VALUE(SUBSTITUTE(SUBSTITUTE(SUBSTITUTE(Table1[[#This Row],[revenue]],"EUR",""),"$",""),".",",")),"")</f>
        <v/>
      </c>
      <c r="Q217" t="s">
        <v>17</v>
      </c>
      <c r="R217" t="str">
        <f>IF(OR(Table1[[#This Row],[currency]]="EUR",Table1[[#This Row],[currency]]="€"),"EUR",IF(OR(Table1[[#This Row],[currency]]="USD",Table1[[#This Row],[currency]]="$"),"USD","Unknown"))</f>
        <v>EUR</v>
      </c>
      <c r="T217" t="str">
        <f>IFERROR(_xlfn.XLOOKUP(Table1[[#This Row],[order_status]],Table8[Original],Table8[Clean],,0,1),"Unknown")</f>
        <v>Unknown</v>
      </c>
      <c r="U217" t="s">
        <v>36</v>
      </c>
      <c r="V217">
        <f>IF(ISNUMBER(Table1[[#This Row],[delivery_days]]),Table1[[#This Row],[delivery_days]],IFERROR(_xlfn.XLOOKUP(Table1[[#This Row],[delivery_days]],Table57[Original],Table57[Clean],,0,1),"Unknown"))</f>
        <v>5</v>
      </c>
      <c r="W217" t="s">
        <v>37</v>
      </c>
    </row>
    <row r="218" spans="1:23" x14ac:dyDescent="0.3">
      <c r="A218">
        <v>1216</v>
      </c>
      <c r="B218" t="str">
        <f>IF(ISBLANK(Table1[[#This Row],[order_id]]),"",IF(LEFT(Table1[[#This Row],[order_id]],3)="ORD",Table1[[#This Row],[order_id]],"ORD-" &amp; Table1[[#This Row],[order_id]]))</f>
        <v>ORD-1216</v>
      </c>
      <c r="C218" t="s">
        <v>522</v>
      </c>
      <c r="D218" s="1">
        <f>IFERROR(DATEVALUE(Table1[[#This Row],[order_date]]),"")</f>
        <v>45522</v>
      </c>
      <c r="E218" t="s">
        <v>523</v>
      </c>
      <c r="F218" t="str">
        <f>IF(ISBLANK(Table1[[#This Row],[customer_name]]),"Unknown Customer",PROPER(SUBSTITUTE(Table1[[#This Row],[customer_name]],"Cust.","Customer")))</f>
        <v>Customer 216</v>
      </c>
      <c r="G218" t="s">
        <v>26</v>
      </c>
      <c r="H218" t="str">
        <f>IFERROR(_xlfn.XLOOKUP(Table1[[#This Row],[region]],Mappings!$C$3:$C$8,Mappings!$D$3:$D$8,,0,1),"Unknown")</f>
        <v>Asia</v>
      </c>
      <c r="J218" t="str">
        <f>IFERROR(_xlfn.XLOOKUP(Table1[[#This Row],[sales_channel]],Table4[Original],Table4[Clean],,0,1),"Unknown")</f>
        <v>Unknown</v>
      </c>
      <c r="L218" t="str">
        <f>IFERROR(_xlfn.XLOOKUP(Table1[[#This Row],[product]],Table3[Original],Table3[Product_clean],,0,1),"Unknown")</f>
        <v>Unknown</v>
      </c>
      <c r="M218" s="6">
        <v>1</v>
      </c>
      <c r="N218">
        <f>IF(ISNUMBER(Table1[[#This Row],[quantity]]),Table1[[#This Row],[quantity]],IFERROR(VLOOKUP(Table1[[#This Row],[quantity]],Table5[#All],2,FALSE),"Unknown"))</f>
        <v>1</v>
      </c>
      <c r="P218" t="str">
        <f>IFERROR(VALUE(SUBSTITUTE(SUBSTITUTE(SUBSTITUTE(Table1[[#This Row],[revenue]],"EUR",""),"$",""),".",",")),"")</f>
        <v/>
      </c>
      <c r="R218" t="str">
        <f>IF(OR(Table1[[#This Row],[currency]]="EUR",Table1[[#This Row],[currency]]="€"),"EUR",IF(OR(Table1[[#This Row],[currency]]="USD",Table1[[#This Row],[currency]]="$"),"USD","Unknown"))</f>
        <v>Unknown</v>
      </c>
      <c r="S218" t="s">
        <v>30</v>
      </c>
      <c r="T218" t="str">
        <f>IFERROR(_xlfn.XLOOKUP(Table1[[#This Row],[order_status]],Table8[Original],Table8[Clean],,0,1),"Unknown")</f>
        <v>Delivered</v>
      </c>
      <c r="U218" t="s">
        <v>36</v>
      </c>
      <c r="V218">
        <f>IF(ISNUMBER(Table1[[#This Row],[delivery_days]]),Table1[[#This Row],[delivery_days]],IFERROR(_xlfn.XLOOKUP(Table1[[#This Row],[delivery_days]],Table57[Original],Table57[Clean],,0,1),"Unknown"))</f>
        <v>5</v>
      </c>
      <c r="W218" t="s">
        <v>37</v>
      </c>
    </row>
    <row r="219" spans="1:23" x14ac:dyDescent="0.3">
      <c r="A219">
        <v>1217</v>
      </c>
      <c r="B219" t="str">
        <f>IF(ISBLANK(Table1[[#This Row],[order_id]]),"",IF(LEFT(Table1[[#This Row],[order_id]],3)="ORD",Table1[[#This Row],[order_id]],"ORD-" &amp; Table1[[#This Row],[order_id]]))</f>
        <v>ORD-1217</v>
      </c>
      <c r="C219" t="s">
        <v>524</v>
      </c>
      <c r="D219" s="1">
        <f>IFERROR(DATEVALUE(Table1[[#This Row],[order_date]]),"")</f>
        <v>45450</v>
      </c>
      <c r="F219" t="str">
        <f>IF(ISBLANK(Table1[[#This Row],[customer_name]]),"Unknown Customer",PROPER(SUBSTITUTE(Table1[[#This Row],[customer_name]],"Cust.","Customer")))</f>
        <v>Unknown Customer</v>
      </c>
      <c r="G219" t="s">
        <v>45</v>
      </c>
      <c r="H219" t="str">
        <f>IFERROR(_xlfn.XLOOKUP(Table1[[#This Row],[region]],Mappings!$C$3:$C$8,Mappings!$D$3:$D$8,,0,1),"Unknown")</f>
        <v>USA</v>
      </c>
      <c r="J219" t="str">
        <f>IFERROR(_xlfn.XLOOKUP(Table1[[#This Row],[sales_channel]],Table4[Original],Table4[Clean],,0,1),"Unknown")</f>
        <v>Unknown</v>
      </c>
      <c r="K219" t="s">
        <v>102</v>
      </c>
      <c r="L219" t="str">
        <f>IFERROR(_xlfn.XLOOKUP(Table1[[#This Row],[product]],Table3[Original],Table3[Product_clean],,0,1),"Unknown")</f>
        <v>Phone</v>
      </c>
      <c r="M219" s="6"/>
      <c r="N219" t="str">
        <f>IF(ISNUMBER(Table1[[#This Row],[quantity]]),Table1[[#This Row],[quantity]],IFERROR(VLOOKUP(Table1[[#This Row],[quantity]],Table5[#All],2,FALSE),"Unknown"))</f>
        <v>Unknown</v>
      </c>
      <c r="P219" t="str">
        <f>IFERROR(VALUE(SUBSTITUTE(SUBSTITUTE(SUBSTITUTE(Table1[[#This Row],[revenue]],"EUR",""),"$",""),".",",")),"")</f>
        <v/>
      </c>
      <c r="Q219" t="s">
        <v>22</v>
      </c>
      <c r="R219" t="str">
        <f>IF(OR(Table1[[#This Row],[currency]]="EUR",Table1[[#This Row],[currency]]="€"),"EUR",IF(OR(Table1[[#This Row],[currency]]="USD",Table1[[#This Row],[currency]]="$"),"USD","Unknown"))</f>
        <v>USD</v>
      </c>
      <c r="S219" t="s">
        <v>18</v>
      </c>
      <c r="T219" t="str">
        <f>IFERROR(_xlfn.XLOOKUP(Table1[[#This Row],[order_status]],Table8[Original],Table8[Clean],,0,1),"Unknown")</f>
        <v>Pending</v>
      </c>
      <c r="U219">
        <v>5</v>
      </c>
      <c r="V219">
        <f>IF(ISNUMBER(Table1[[#This Row],[delivery_days]]),Table1[[#This Row],[delivery_days]],IFERROR(_xlfn.XLOOKUP(Table1[[#This Row],[delivery_days]],Table57[Original],Table57[Clean],,0,1),"Unknown"))</f>
        <v>5</v>
      </c>
    </row>
    <row r="220" spans="1:23" x14ac:dyDescent="0.3">
      <c r="B220" t="str">
        <f>IF(ISBLANK(Table1[[#This Row],[order_id]]),"",IF(LEFT(Table1[[#This Row],[order_id]],3)="ORD",Table1[[#This Row],[order_id]],"ORD-" &amp; Table1[[#This Row],[order_id]]))</f>
        <v/>
      </c>
      <c r="C220" t="s">
        <v>525</v>
      </c>
      <c r="D220" s="1">
        <f>IFERROR(DATEVALUE(Table1[[#This Row],[order_date]]),"")</f>
        <v>45470</v>
      </c>
      <c r="E220" t="s">
        <v>526</v>
      </c>
      <c r="F220" t="str">
        <f>IF(ISBLANK(Table1[[#This Row],[customer_name]]),"Unknown Customer",PROPER(SUBSTITUTE(Table1[[#This Row],[customer_name]],"Cust.","Customer")))</f>
        <v>Customer 218</v>
      </c>
      <c r="G220" t="s">
        <v>45</v>
      </c>
      <c r="H220" t="str">
        <f>IFERROR(_xlfn.XLOOKUP(Table1[[#This Row],[region]],Mappings!$C$3:$C$8,Mappings!$D$3:$D$8,,0,1),"Unknown")</f>
        <v>USA</v>
      </c>
      <c r="I220" t="s">
        <v>68</v>
      </c>
      <c r="J220" t="str">
        <f>IFERROR(_xlfn.XLOOKUP(Table1[[#This Row],[sales_channel]],Table4[Original],Table4[Clean],,0,1),"Unknown")</f>
        <v>Online</v>
      </c>
      <c r="K220" t="s">
        <v>51</v>
      </c>
      <c r="L220" t="str">
        <f>IFERROR(_xlfn.XLOOKUP(Table1[[#This Row],[product]],Table3[Original],Table3[Product_clean],,0,1),"Unknown")</f>
        <v>Laptop</v>
      </c>
      <c r="M220" s="6">
        <v>2</v>
      </c>
      <c r="N220">
        <f>IF(ISNUMBER(Table1[[#This Row],[quantity]]),Table1[[#This Row],[quantity]],IFERROR(VLOOKUP(Table1[[#This Row],[quantity]],Table5[#All],2,FALSE),"Unknown"))</f>
        <v>2</v>
      </c>
      <c r="P220" t="str">
        <f>IFERROR(VALUE(SUBSTITUTE(SUBSTITUTE(SUBSTITUTE(Table1[[#This Row],[revenue]],"EUR",""),"$",""),".",",")),"")</f>
        <v/>
      </c>
      <c r="Q220" t="s">
        <v>55</v>
      </c>
      <c r="R220" t="str">
        <f>IF(OR(Table1[[#This Row],[currency]]="EUR",Table1[[#This Row],[currency]]="€"),"EUR",IF(OR(Table1[[#This Row],[currency]]="USD",Table1[[#This Row],[currency]]="$"),"USD","Unknown"))</f>
        <v>EUR</v>
      </c>
      <c r="S220" t="s">
        <v>30</v>
      </c>
      <c r="T220" t="str">
        <f>IFERROR(_xlfn.XLOOKUP(Table1[[#This Row],[order_status]],Table8[Original],Table8[Clean],,0,1),"Unknown")</f>
        <v>Delivered</v>
      </c>
      <c r="U220">
        <v>2</v>
      </c>
      <c r="V220">
        <f>IF(ISNUMBER(Table1[[#This Row],[delivery_days]]),Table1[[#This Row],[delivery_days]],IFERROR(_xlfn.XLOOKUP(Table1[[#This Row],[delivery_days]],Table57[Original],Table57[Clean],,0,1),"Unknown"))</f>
        <v>2</v>
      </c>
      <c r="W220" t="s">
        <v>24</v>
      </c>
    </row>
    <row r="221" spans="1:23" x14ac:dyDescent="0.3">
      <c r="B221" t="str">
        <f>IF(ISBLANK(Table1[[#This Row],[order_id]]),"",IF(LEFT(Table1[[#This Row],[order_id]],3)="ORD",Table1[[#This Row],[order_id]],"ORD-" &amp; Table1[[#This Row],[order_id]]))</f>
        <v/>
      </c>
      <c r="D221" s="1" t="str">
        <f>IFERROR(DATEVALUE(Table1[[#This Row],[order_date]]),"")</f>
        <v/>
      </c>
      <c r="F221" t="str">
        <f>IF(ISBLANK(Table1[[#This Row],[customer_name]]),"Unknown Customer",PROPER(SUBSTITUTE(Table1[[#This Row],[customer_name]],"Cust.","Customer")))</f>
        <v>Unknown Customer</v>
      </c>
      <c r="G221" t="s">
        <v>45</v>
      </c>
      <c r="H221" t="str">
        <f>IFERROR(_xlfn.XLOOKUP(Table1[[#This Row],[region]],Mappings!$C$3:$C$8,Mappings!$D$3:$D$8,,0,1),"Unknown")</f>
        <v>USA</v>
      </c>
      <c r="I221" t="s">
        <v>27</v>
      </c>
      <c r="J221" t="str">
        <f>IFERROR(_xlfn.XLOOKUP(Table1[[#This Row],[sales_channel]],Table4[Original],Table4[Clean],,0,1),"Unknown")</f>
        <v>Online</v>
      </c>
      <c r="K221" t="s">
        <v>33</v>
      </c>
      <c r="L221" t="str">
        <f>IFERROR(_xlfn.XLOOKUP(Table1[[#This Row],[product]],Table3[Original],Table3[Product_clean],,0,1),"Unknown")</f>
        <v>Tablet</v>
      </c>
      <c r="M221" s="6" t="s">
        <v>83</v>
      </c>
      <c r="N221">
        <f>IF(ISNUMBER(Table1[[#This Row],[quantity]]),Table1[[#This Row],[quantity]],IFERROR(VLOOKUP(Table1[[#This Row],[quantity]],Table5[#All],2,FALSE),"Unknown"))</f>
        <v>2</v>
      </c>
      <c r="O221" t="s">
        <v>527</v>
      </c>
      <c r="P221">
        <f>IFERROR(VALUE(SUBSTITUTE(SUBSTITUTE(SUBSTITUTE(Table1[[#This Row],[revenue]],"EUR",""),"$",""),".",",")),"")</f>
        <v>589.98</v>
      </c>
      <c r="Q221" t="s">
        <v>22</v>
      </c>
      <c r="R221" t="str">
        <f>IF(OR(Table1[[#This Row],[currency]]="EUR",Table1[[#This Row],[currency]]="€"),"EUR",IF(OR(Table1[[#This Row],[currency]]="USD",Table1[[#This Row],[currency]]="$"),"USD","Unknown"))</f>
        <v>USD</v>
      </c>
      <c r="S221" t="s">
        <v>23</v>
      </c>
      <c r="T221" t="str">
        <f>IFERROR(_xlfn.XLOOKUP(Table1[[#This Row],[order_status]],Table8[Original],Table8[Clean],,0,1),"Unknown")</f>
        <v>Delivered</v>
      </c>
      <c r="U221">
        <v>5</v>
      </c>
      <c r="V221">
        <f>IF(ISNUMBER(Table1[[#This Row],[delivery_days]]),Table1[[#This Row],[delivery_days]],IFERROR(_xlfn.XLOOKUP(Table1[[#This Row],[delivery_days]],Table57[Original],Table57[Clean],,0,1),"Unknown"))</f>
        <v>5</v>
      </c>
      <c r="W221" t="s">
        <v>37</v>
      </c>
    </row>
    <row r="222" spans="1:23" x14ac:dyDescent="0.3">
      <c r="A222">
        <v>1220</v>
      </c>
      <c r="B222" t="str">
        <f>IF(ISBLANK(Table1[[#This Row],[order_id]]),"",IF(LEFT(Table1[[#This Row],[order_id]],3)="ORD",Table1[[#This Row],[order_id]],"ORD-" &amp; Table1[[#This Row],[order_id]]))</f>
        <v>ORD-1220</v>
      </c>
      <c r="C222" t="s">
        <v>528</v>
      </c>
      <c r="D222" s="1">
        <f>IFERROR(DATEVALUE(Table1[[#This Row],[order_date]]),"")</f>
        <v>45576</v>
      </c>
      <c r="E222" t="s">
        <v>529</v>
      </c>
      <c r="F222" t="str">
        <f>IF(ISBLANK(Table1[[#This Row],[customer_name]]),"Unknown Customer",PROPER(SUBSTITUTE(Table1[[#This Row],[customer_name]],"Cust.","Customer")))</f>
        <v>Customer 220</v>
      </c>
      <c r="H222" t="str">
        <f>IFERROR(_xlfn.XLOOKUP(Table1[[#This Row],[region]],Mappings!$C$3:$C$8,Mappings!$D$3:$D$8,,0,1),"Unknown")</f>
        <v>Unknown</v>
      </c>
      <c r="I222" t="s">
        <v>78</v>
      </c>
      <c r="J222" t="str">
        <f>IFERROR(_xlfn.XLOOKUP(Table1[[#This Row],[sales_channel]],Table4[Original],Table4[Clean],,0,1),"Unknown")</f>
        <v>Mobile</v>
      </c>
      <c r="K222" t="s">
        <v>33</v>
      </c>
      <c r="L222" t="str">
        <f>IFERROR(_xlfn.XLOOKUP(Table1[[#This Row],[product]],Table3[Original],Table3[Product_clean],,0,1),"Unknown")</f>
        <v>Tablet</v>
      </c>
      <c r="M222" s="6">
        <v>1</v>
      </c>
      <c r="N222">
        <f>IF(ISNUMBER(Table1[[#This Row],[quantity]]),Table1[[#This Row],[quantity]],IFERROR(VLOOKUP(Table1[[#This Row],[quantity]],Table5[#All],2,FALSE),"Unknown"))</f>
        <v>1</v>
      </c>
      <c r="O222" t="s">
        <v>530</v>
      </c>
      <c r="P222">
        <f>IFERROR(VALUE(SUBSTITUTE(SUBSTITUTE(SUBSTITUTE(Table1[[#This Row],[revenue]],"EUR",""),"$",""),".",",")),"")</f>
        <v>542.25</v>
      </c>
      <c r="Q222" t="s">
        <v>55</v>
      </c>
      <c r="R222" t="str">
        <f>IF(OR(Table1[[#This Row],[currency]]="EUR",Table1[[#This Row],[currency]]="€"),"EUR",IF(OR(Table1[[#This Row],[currency]]="USD",Table1[[#This Row],[currency]]="$"),"USD","Unknown"))</f>
        <v>EUR</v>
      </c>
      <c r="S222" t="s">
        <v>30</v>
      </c>
      <c r="T222" t="str">
        <f>IFERROR(_xlfn.XLOOKUP(Table1[[#This Row],[order_status]],Table8[Original],Table8[Clean],,0,1),"Unknown")</f>
        <v>Delivered</v>
      </c>
      <c r="U222">
        <v>5</v>
      </c>
      <c r="V222">
        <f>IF(ISNUMBER(Table1[[#This Row],[delivery_days]]),Table1[[#This Row],[delivery_days]],IFERROR(_xlfn.XLOOKUP(Table1[[#This Row],[delivery_days]],Table57[Original],Table57[Clean],,0,1),"Unknown"))</f>
        <v>5</v>
      </c>
      <c r="W222" t="s">
        <v>37</v>
      </c>
    </row>
    <row r="223" spans="1:23" x14ac:dyDescent="0.3">
      <c r="A223" t="s">
        <v>531</v>
      </c>
      <c r="B223" t="str">
        <f>IF(ISBLANK(Table1[[#This Row],[order_id]]),"",IF(LEFT(Table1[[#This Row],[order_id]],3)="ORD",Table1[[#This Row],[order_id]],"ORD-" &amp; Table1[[#This Row],[order_id]]))</f>
        <v>ORD-1221</v>
      </c>
      <c r="D223" s="1" t="str">
        <f>IFERROR(DATEVALUE(Table1[[#This Row],[order_date]]),"")</f>
        <v/>
      </c>
      <c r="F223" t="str">
        <f>IF(ISBLANK(Table1[[#This Row],[customer_name]]),"Unknown Customer",PROPER(SUBSTITUTE(Table1[[#This Row],[customer_name]],"Cust.","Customer")))</f>
        <v>Unknown Customer</v>
      </c>
      <c r="H223" t="str">
        <f>IFERROR(_xlfn.XLOOKUP(Table1[[#This Row],[region]],Mappings!$C$3:$C$8,Mappings!$D$3:$D$8,,0,1),"Unknown")</f>
        <v>Unknown</v>
      </c>
      <c r="I223" t="s">
        <v>78</v>
      </c>
      <c r="J223" t="str">
        <f>IFERROR(_xlfn.XLOOKUP(Table1[[#This Row],[sales_channel]],Table4[Original],Table4[Clean],,0,1),"Unknown")</f>
        <v>Mobile</v>
      </c>
      <c r="K223" t="s">
        <v>41</v>
      </c>
      <c r="L223" t="str">
        <f>IFERROR(_xlfn.XLOOKUP(Table1[[#This Row],[product]],Table3[Original],Table3[Product_clean],,0,1),"Unknown")</f>
        <v>Phone</v>
      </c>
      <c r="M223" s="6">
        <v>2</v>
      </c>
      <c r="N223">
        <f>IF(ISNUMBER(Table1[[#This Row],[quantity]]),Table1[[#This Row],[quantity]],IFERROR(VLOOKUP(Table1[[#This Row],[quantity]],Table5[#All],2,FALSE),"Unknown"))</f>
        <v>2</v>
      </c>
      <c r="P223" t="str">
        <f>IFERROR(VALUE(SUBSTITUTE(SUBSTITUTE(SUBSTITUTE(Table1[[#This Row],[revenue]],"EUR",""),"$",""),".",",")),"")</f>
        <v/>
      </c>
      <c r="Q223" t="s">
        <v>17</v>
      </c>
      <c r="R223" t="str">
        <f>IF(OR(Table1[[#This Row],[currency]]="EUR",Table1[[#This Row],[currency]]="€"),"EUR",IF(OR(Table1[[#This Row],[currency]]="USD",Table1[[#This Row],[currency]]="$"),"USD","Unknown"))</f>
        <v>EUR</v>
      </c>
      <c r="S223" t="s">
        <v>18</v>
      </c>
      <c r="T223" t="str">
        <f>IFERROR(_xlfn.XLOOKUP(Table1[[#This Row],[order_status]],Table8[Original],Table8[Clean],,0,1),"Unknown")</f>
        <v>Pending</v>
      </c>
      <c r="U223">
        <v>1</v>
      </c>
      <c r="V223">
        <f>IF(ISNUMBER(Table1[[#This Row],[delivery_days]]),Table1[[#This Row],[delivery_days]],IFERROR(_xlfn.XLOOKUP(Table1[[#This Row],[delivery_days]],Table57[Original],Table57[Clean],,0,1),"Unknown"))</f>
        <v>1</v>
      </c>
      <c r="W223" t="s">
        <v>37</v>
      </c>
    </row>
    <row r="224" spans="1:23" x14ac:dyDescent="0.3">
      <c r="B224" t="str">
        <f>IF(ISBLANK(Table1[[#This Row],[order_id]]),"",IF(LEFT(Table1[[#This Row],[order_id]],3)="ORD",Table1[[#This Row],[order_id]],"ORD-" &amp; Table1[[#This Row],[order_id]]))</f>
        <v/>
      </c>
      <c r="C224" t="s">
        <v>532</v>
      </c>
      <c r="D224" s="1" t="str">
        <f>IFERROR(DATEVALUE(Table1[[#This Row],[order_date]]),"")</f>
        <v/>
      </c>
      <c r="E224" t="s">
        <v>533</v>
      </c>
      <c r="F224" t="str">
        <f>IF(ISBLANK(Table1[[#This Row],[customer_name]]),"Unknown Customer",PROPER(SUBSTITUTE(Table1[[#This Row],[customer_name]],"Cust.","Customer")))</f>
        <v>Customer 222</v>
      </c>
      <c r="H224" t="str">
        <f>IFERROR(_xlfn.XLOOKUP(Table1[[#This Row],[region]],Mappings!$C$3:$C$8,Mappings!$D$3:$D$8,,0,1),"Unknown")</f>
        <v>Unknown</v>
      </c>
      <c r="I224" t="s">
        <v>78</v>
      </c>
      <c r="J224" t="str">
        <f>IFERROR(_xlfn.XLOOKUP(Table1[[#This Row],[sales_channel]],Table4[Original],Table4[Clean],,0,1),"Unknown")</f>
        <v>Mobile</v>
      </c>
      <c r="K224" t="s">
        <v>33</v>
      </c>
      <c r="L224" t="str">
        <f>IFERROR(_xlfn.XLOOKUP(Table1[[#This Row],[product]],Table3[Original],Table3[Product_clean],,0,1),"Unknown")</f>
        <v>Tablet</v>
      </c>
      <c r="M224" s="6" t="s">
        <v>83</v>
      </c>
      <c r="N224">
        <f>IF(ISNUMBER(Table1[[#This Row],[quantity]]),Table1[[#This Row],[quantity]],IFERROR(VLOOKUP(Table1[[#This Row],[quantity]],Table5[#All],2,FALSE),"Unknown"))</f>
        <v>2</v>
      </c>
      <c r="O224" t="s">
        <v>534</v>
      </c>
      <c r="P224">
        <f>IFERROR(VALUE(SUBSTITUTE(SUBSTITUTE(SUBSTITUTE(Table1[[#This Row],[revenue]],"EUR",""),"$",""),".",",")),"")</f>
        <v>146.44999999999999</v>
      </c>
      <c r="R224" t="str">
        <f>IF(OR(Table1[[#This Row],[currency]]="EUR",Table1[[#This Row],[currency]]="€"),"EUR",IF(OR(Table1[[#This Row],[currency]]="USD",Table1[[#This Row],[currency]]="$"),"USD","Unknown"))</f>
        <v>Unknown</v>
      </c>
      <c r="S224" t="s">
        <v>18</v>
      </c>
      <c r="T224" t="str">
        <f>IFERROR(_xlfn.XLOOKUP(Table1[[#This Row],[order_status]],Table8[Original],Table8[Clean],,0,1),"Unknown")</f>
        <v>Pending</v>
      </c>
      <c r="U224">
        <v>1</v>
      </c>
      <c r="V224">
        <f>IF(ISNUMBER(Table1[[#This Row],[delivery_days]]),Table1[[#This Row],[delivery_days]],IFERROR(_xlfn.XLOOKUP(Table1[[#This Row],[delivery_days]],Table57[Original],Table57[Clean],,0,1),"Unknown"))</f>
        <v>1</v>
      </c>
    </row>
    <row r="225" spans="1:23" x14ac:dyDescent="0.3">
      <c r="B225" t="str">
        <f>IF(ISBLANK(Table1[[#This Row],[order_id]]),"",IF(LEFT(Table1[[#This Row],[order_id]],3)="ORD",Table1[[#This Row],[order_id]],"ORD-" &amp; Table1[[#This Row],[order_id]]))</f>
        <v/>
      </c>
      <c r="C225" t="s">
        <v>535</v>
      </c>
      <c r="D225" s="1">
        <f>IFERROR(DATEVALUE(Table1[[#This Row],[order_date]]),"")</f>
        <v>45429</v>
      </c>
      <c r="F225" t="str">
        <f>IF(ISBLANK(Table1[[#This Row],[customer_name]]),"Unknown Customer",PROPER(SUBSTITUTE(Table1[[#This Row],[customer_name]],"Cust.","Customer")))</f>
        <v>Unknown Customer</v>
      </c>
      <c r="G225" t="s">
        <v>45</v>
      </c>
      <c r="H225" t="str">
        <f>IFERROR(_xlfn.XLOOKUP(Table1[[#This Row],[region]],Mappings!$C$3:$C$8,Mappings!$D$3:$D$8,,0,1),"Unknown")</f>
        <v>USA</v>
      </c>
      <c r="I225" t="s">
        <v>27</v>
      </c>
      <c r="J225" t="str">
        <f>IFERROR(_xlfn.XLOOKUP(Table1[[#This Row],[sales_channel]],Table4[Original],Table4[Clean],,0,1),"Unknown")</f>
        <v>Online</v>
      </c>
      <c r="K225" t="s">
        <v>41</v>
      </c>
      <c r="L225" t="str">
        <f>IFERROR(_xlfn.XLOOKUP(Table1[[#This Row],[product]],Table3[Original],Table3[Product_clean],,0,1),"Unknown")</f>
        <v>Phone</v>
      </c>
      <c r="M225" s="6">
        <v>1</v>
      </c>
      <c r="N225">
        <f>IF(ISNUMBER(Table1[[#This Row],[quantity]]),Table1[[#This Row],[quantity]],IFERROR(VLOOKUP(Table1[[#This Row],[quantity]],Table5[#All],2,FALSE),"Unknown"))</f>
        <v>1</v>
      </c>
      <c r="O225" t="s">
        <v>536</v>
      </c>
      <c r="P225">
        <f>IFERROR(VALUE(SUBSTITUTE(SUBSTITUTE(SUBSTITUTE(Table1[[#This Row],[revenue]],"EUR",""),"$",""),".",",")),"")</f>
        <v>2336.58</v>
      </c>
      <c r="Q225" t="s">
        <v>58</v>
      </c>
      <c r="R225" t="str">
        <f>IF(OR(Table1[[#This Row],[currency]]="EUR",Table1[[#This Row],[currency]]="€"),"EUR",IF(OR(Table1[[#This Row],[currency]]="USD",Table1[[#This Row],[currency]]="$"),"USD","Unknown"))</f>
        <v>USD</v>
      </c>
      <c r="S225" t="s">
        <v>35</v>
      </c>
      <c r="T225" t="str">
        <f>IFERROR(_xlfn.XLOOKUP(Table1[[#This Row],[order_status]],Table8[Original],Table8[Clean],,0,1),"Unknown")</f>
        <v>Returned</v>
      </c>
      <c r="U225">
        <v>1</v>
      </c>
      <c r="V225">
        <f>IF(ISNUMBER(Table1[[#This Row],[delivery_days]]),Table1[[#This Row],[delivery_days]],IFERROR(_xlfn.XLOOKUP(Table1[[#This Row],[delivery_days]],Table57[Original],Table57[Clean],,0,1),"Unknown"))</f>
        <v>1</v>
      </c>
    </row>
    <row r="226" spans="1:23" x14ac:dyDescent="0.3">
      <c r="A226" t="s">
        <v>537</v>
      </c>
      <c r="B226" t="str">
        <f>IF(ISBLANK(Table1[[#This Row],[order_id]]),"",IF(LEFT(Table1[[#This Row],[order_id]],3)="ORD",Table1[[#This Row],[order_id]],"ORD-" &amp; Table1[[#This Row],[order_id]]))</f>
        <v>ORD-1224</v>
      </c>
      <c r="C226" t="s">
        <v>538</v>
      </c>
      <c r="D226" s="1">
        <f>IFERROR(DATEVALUE(Table1[[#This Row],[order_date]]),"")</f>
        <v>45426</v>
      </c>
      <c r="E226" t="s">
        <v>539</v>
      </c>
      <c r="F226" t="str">
        <f>IF(ISBLANK(Table1[[#This Row],[customer_name]]),"Unknown Customer",PROPER(SUBSTITUTE(Table1[[#This Row],[customer_name]],"Cust.","Customer")))</f>
        <v>Customer 224</v>
      </c>
      <c r="G226" t="s">
        <v>54</v>
      </c>
      <c r="H226" t="str">
        <f>IFERROR(_xlfn.XLOOKUP(Table1[[#This Row],[region]],Mappings!$C$3:$C$8,Mappings!$D$3:$D$8,,0,1),"Unknown")</f>
        <v>USA</v>
      </c>
      <c r="J226" t="str">
        <f>IFERROR(_xlfn.XLOOKUP(Table1[[#This Row],[sales_channel]],Table4[Original],Table4[Clean],,0,1),"Unknown")</f>
        <v>Unknown</v>
      </c>
      <c r="K226" t="s">
        <v>33</v>
      </c>
      <c r="L226" t="str">
        <f>IFERROR(_xlfn.XLOOKUP(Table1[[#This Row],[product]],Table3[Original],Table3[Product_clean],,0,1),"Unknown")</f>
        <v>Tablet</v>
      </c>
      <c r="M226" s="6">
        <v>3</v>
      </c>
      <c r="N226">
        <f>IF(ISNUMBER(Table1[[#This Row],[quantity]]),Table1[[#This Row],[quantity]],IFERROR(VLOOKUP(Table1[[#This Row],[quantity]],Table5[#All],2,FALSE),"Unknown"))</f>
        <v>3</v>
      </c>
      <c r="O226">
        <v>1078.3</v>
      </c>
      <c r="P226">
        <f>IFERROR(VALUE(SUBSTITUTE(SUBSTITUTE(SUBSTITUTE(Table1[[#This Row],[revenue]],"EUR",""),"$",""),".",",")),"")</f>
        <v>1078.3</v>
      </c>
      <c r="R226" t="str">
        <f>IF(OR(Table1[[#This Row],[currency]]="EUR",Table1[[#This Row],[currency]]="€"),"EUR",IF(OR(Table1[[#This Row],[currency]]="USD",Table1[[#This Row],[currency]]="$"),"USD","Unknown"))</f>
        <v>Unknown</v>
      </c>
      <c r="T226" t="str">
        <f>IFERROR(_xlfn.XLOOKUP(Table1[[#This Row],[order_status]],Table8[Original],Table8[Clean],,0,1),"Unknown")</f>
        <v>Unknown</v>
      </c>
      <c r="U226">
        <v>5</v>
      </c>
      <c r="V226">
        <f>IF(ISNUMBER(Table1[[#This Row],[delivery_days]]),Table1[[#This Row],[delivery_days]],IFERROR(_xlfn.XLOOKUP(Table1[[#This Row],[delivery_days]],Table57[Original],Table57[Clean],,0,1),"Unknown"))</f>
        <v>5</v>
      </c>
      <c r="W226" t="s">
        <v>37</v>
      </c>
    </row>
    <row r="227" spans="1:23" x14ac:dyDescent="0.3">
      <c r="A227">
        <v>1225</v>
      </c>
      <c r="B227" t="str">
        <f>IF(ISBLANK(Table1[[#This Row],[order_id]]),"",IF(LEFT(Table1[[#This Row],[order_id]],3)="ORD",Table1[[#This Row],[order_id]],"ORD-" &amp; Table1[[#This Row],[order_id]]))</f>
        <v>ORD-1225</v>
      </c>
      <c r="C227" t="s">
        <v>540</v>
      </c>
      <c r="D227" s="1">
        <f>IFERROR(DATEVALUE(Table1[[#This Row],[order_date]]),"")</f>
        <v>45607</v>
      </c>
      <c r="E227" t="s">
        <v>541</v>
      </c>
      <c r="F227" t="str">
        <f>IF(ISBLANK(Table1[[#This Row],[customer_name]]),"Unknown Customer",PROPER(SUBSTITUTE(Table1[[#This Row],[customer_name]],"Cust.","Customer")))</f>
        <v>Customer 225</v>
      </c>
      <c r="G227" t="s">
        <v>45</v>
      </c>
      <c r="H227" t="str">
        <f>IFERROR(_xlfn.XLOOKUP(Table1[[#This Row],[region]],Mappings!$C$3:$C$8,Mappings!$D$3:$D$8,,0,1),"Unknown")</f>
        <v>USA</v>
      </c>
      <c r="I227" t="s">
        <v>50</v>
      </c>
      <c r="J227" t="str">
        <f>IFERROR(_xlfn.XLOOKUP(Table1[[#This Row],[sales_channel]],Table4[Original],Table4[Clean],,0,1),"Unknown")</f>
        <v>Mobile</v>
      </c>
      <c r="K227" t="s">
        <v>33</v>
      </c>
      <c r="L227" t="str">
        <f>IFERROR(_xlfn.XLOOKUP(Table1[[#This Row],[product]],Table3[Original],Table3[Product_clean],,0,1),"Unknown")</f>
        <v>Tablet</v>
      </c>
      <c r="M227" s="6"/>
      <c r="N227" t="str">
        <f>IF(ISNUMBER(Table1[[#This Row],[quantity]]),Table1[[#This Row],[quantity]],IFERROR(VLOOKUP(Table1[[#This Row],[quantity]],Table5[#All],2,FALSE),"Unknown"))</f>
        <v>Unknown</v>
      </c>
      <c r="O227" t="s">
        <v>542</v>
      </c>
      <c r="P227">
        <f>IFERROR(VALUE(SUBSTITUTE(SUBSTITUTE(SUBSTITUTE(Table1[[#This Row],[revenue]],"EUR",""),"$",""),".",",")),"")</f>
        <v>460.74</v>
      </c>
      <c r="Q227" t="s">
        <v>58</v>
      </c>
      <c r="R227" t="str">
        <f>IF(OR(Table1[[#This Row],[currency]]="EUR",Table1[[#This Row],[currency]]="€"),"EUR",IF(OR(Table1[[#This Row],[currency]]="USD",Table1[[#This Row],[currency]]="$"),"USD","Unknown"))</f>
        <v>USD</v>
      </c>
      <c r="S227" t="s">
        <v>35</v>
      </c>
      <c r="T227" t="str">
        <f>IFERROR(_xlfn.XLOOKUP(Table1[[#This Row],[order_status]],Table8[Original],Table8[Clean],,0,1),"Unknown")</f>
        <v>Returned</v>
      </c>
      <c r="V227" t="str">
        <f>IF(ISNUMBER(Table1[[#This Row],[delivery_days]]),Table1[[#This Row],[delivery_days]],IFERROR(_xlfn.XLOOKUP(Table1[[#This Row],[delivery_days]],Table57[Original],Table57[Clean],,0,1),"Unknown"))</f>
        <v>Unknown</v>
      </c>
      <c r="W227" t="s">
        <v>24</v>
      </c>
    </row>
    <row r="228" spans="1:23" x14ac:dyDescent="0.3">
      <c r="A228">
        <v>1226</v>
      </c>
      <c r="B228" t="str">
        <f>IF(ISBLANK(Table1[[#This Row],[order_id]]),"",IF(LEFT(Table1[[#This Row],[order_id]],3)="ORD",Table1[[#This Row],[order_id]],"ORD-" &amp; Table1[[#This Row],[order_id]]))</f>
        <v>ORD-1226</v>
      </c>
      <c r="D228" s="1" t="str">
        <f>IFERROR(DATEVALUE(Table1[[#This Row],[order_date]]),"")</f>
        <v/>
      </c>
      <c r="E228" t="s">
        <v>543</v>
      </c>
      <c r="F228" t="str">
        <f>IF(ISBLANK(Table1[[#This Row],[customer_name]]),"Unknown Customer",PROPER(SUBSTITUTE(Table1[[#This Row],[customer_name]],"Cust.","Customer")))</f>
        <v>Customer 226</v>
      </c>
      <c r="G228" t="s">
        <v>26</v>
      </c>
      <c r="H228" t="str">
        <f>IFERROR(_xlfn.XLOOKUP(Table1[[#This Row],[region]],Mappings!$C$3:$C$8,Mappings!$D$3:$D$8,,0,1),"Unknown")</f>
        <v>Asia</v>
      </c>
      <c r="J228" t="str">
        <f>IFERROR(_xlfn.XLOOKUP(Table1[[#This Row],[sales_channel]],Table4[Original],Table4[Clean],,0,1),"Unknown")</f>
        <v>Unknown</v>
      </c>
      <c r="K228" t="s">
        <v>28</v>
      </c>
      <c r="L228" t="str">
        <f>IFERROR(_xlfn.XLOOKUP(Table1[[#This Row],[product]],Table3[Original],Table3[Product_clean],,0,1),"Unknown")</f>
        <v>Laptop</v>
      </c>
      <c r="M228" s="6">
        <v>2</v>
      </c>
      <c r="N228">
        <f>IF(ISNUMBER(Table1[[#This Row],[quantity]]),Table1[[#This Row],[quantity]],IFERROR(VLOOKUP(Table1[[#This Row],[quantity]],Table5[#All],2,FALSE),"Unknown"))</f>
        <v>2</v>
      </c>
      <c r="O228">
        <v>1739.57</v>
      </c>
      <c r="P228">
        <f>IFERROR(VALUE(SUBSTITUTE(SUBSTITUTE(SUBSTITUTE(Table1[[#This Row],[revenue]],"EUR",""),"$",""),".",",")),"")</f>
        <v>1739.57</v>
      </c>
      <c r="Q228" t="s">
        <v>58</v>
      </c>
      <c r="R228" t="str">
        <f>IF(OR(Table1[[#This Row],[currency]]="EUR",Table1[[#This Row],[currency]]="€"),"EUR",IF(OR(Table1[[#This Row],[currency]]="USD",Table1[[#This Row],[currency]]="$"),"USD","Unknown"))</f>
        <v>USD</v>
      </c>
      <c r="S228" t="s">
        <v>23</v>
      </c>
      <c r="T228" t="str">
        <f>IFERROR(_xlfn.XLOOKUP(Table1[[#This Row],[order_status]],Table8[Original],Table8[Clean],,0,1),"Unknown")</f>
        <v>Delivered</v>
      </c>
      <c r="V228" t="str">
        <f>IF(ISNUMBER(Table1[[#This Row],[delivery_days]]),Table1[[#This Row],[delivery_days]],IFERROR(_xlfn.XLOOKUP(Table1[[#This Row],[delivery_days]],Table57[Original],Table57[Clean],,0,1),"Unknown"))</f>
        <v>Unknown</v>
      </c>
      <c r="W228" t="s">
        <v>24</v>
      </c>
    </row>
    <row r="229" spans="1:23" x14ac:dyDescent="0.3">
      <c r="A229" t="s">
        <v>544</v>
      </c>
      <c r="B229" t="str">
        <f>IF(ISBLANK(Table1[[#This Row],[order_id]]),"",IF(LEFT(Table1[[#This Row],[order_id]],3)="ORD",Table1[[#This Row],[order_id]],"ORD-" &amp; Table1[[#This Row],[order_id]]))</f>
        <v>ORD-1227</v>
      </c>
      <c r="C229" t="s">
        <v>71</v>
      </c>
      <c r="D229" s="1">
        <f>IFERROR(DATEVALUE(Table1[[#This Row],[order_date]]),"")</f>
        <v>45418</v>
      </c>
      <c r="E229" t="s">
        <v>545</v>
      </c>
      <c r="F229" t="str">
        <f>IF(ISBLANK(Table1[[#This Row],[customer_name]]),"Unknown Customer",PROPER(SUBSTITUTE(Table1[[#This Row],[customer_name]],"Cust.","Customer")))</f>
        <v>Customer 227</v>
      </c>
      <c r="H229" t="str">
        <f>IFERROR(_xlfn.XLOOKUP(Table1[[#This Row],[region]],Mappings!$C$3:$C$8,Mappings!$D$3:$D$8,,0,1),"Unknown")</f>
        <v>Unknown</v>
      </c>
      <c r="I229" t="s">
        <v>78</v>
      </c>
      <c r="J229" t="str">
        <f>IFERROR(_xlfn.XLOOKUP(Table1[[#This Row],[sales_channel]],Table4[Original],Table4[Clean],,0,1),"Unknown")</f>
        <v>Mobile</v>
      </c>
      <c r="K229" t="s">
        <v>41</v>
      </c>
      <c r="L229" t="str">
        <f>IFERROR(_xlfn.XLOOKUP(Table1[[#This Row],[product]],Table3[Original],Table3[Product_clean],,0,1),"Unknown")</f>
        <v>Phone</v>
      </c>
      <c r="M229" s="6" t="s">
        <v>83</v>
      </c>
      <c r="N229">
        <f>IF(ISNUMBER(Table1[[#This Row],[quantity]]),Table1[[#This Row],[quantity]],IFERROR(VLOOKUP(Table1[[#This Row],[quantity]],Table5[#All],2,FALSE),"Unknown"))</f>
        <v>2</v>
      </c>
      <c r="P229" t="str">
        <f>IFERROR(VALUE(SUBSTITUTE(SUBSTITUTE(SUBSTITUTE(Table1[[#This Row],[revenue]],"EUR",""),"$",""),".",",")),"")</f>
        <v/>
      </c>
      <c r="Q229" t="s">
        <v>17</v>
      </c>
      <c r="R229" t="str">
        <f>IF(OR(Table1[[#This Row],[currency]]="EUR",Table1[[#This Row],[currency]]="€"),"EUR",IF(OR(Table1[[#This Row],[currency]]="USD",Table1[[#This Row],[currency]]="$"),"USD","Unknown"))</f>
        <v>EUR</v>
      </c>
      <c r="T229" t="str">
        <f>IFERROR(_xlfn.XLOOKUP(Table1[[#This Row],[order_status]],Table8[Original],Table8[Clean],,0,1),"Unknown")</f>
        <v>Unknown</v>
      </c>
      <c r="U229">
        <v>1</v>
      </c>
      <c r="V229">
        <f>IF(ISNUMBER(Table1[[#This Row],[delivery_days]]),Table1[[#This Row],[delivery_days]],IFERROR(_xlfn.XLOOKUP(Table1[[#This Row],[delivery_days]],Table57[Original],Table57[Clean],,0,1),"Unknown"))</f>
        <v>1</v>
      </c>
    </row>
    <row r="230" spans="1:23" x14ac:dyDescent="0.3">
      <c r="A230" t="s">
        <v>546</v>
      </c>
      <c r="B230" t="str">
        <f>IF(ISBLANK(Table1[[#This Row],[order_id]]),"",IF(LEFT(Table1[[#This Row],[order_id]],3)="ORD",Table1[[#This Row],[order_id]],"ORD-" &amp; Table1[[#This Row],[order_id]]))</f>
        <v>ORD-1228</v>
      </c>
      <c r="D230" s="1" t="str">
        <f>IFERROR(DATEVALUE(Table1[[#This Row],[order_date]]),"")</f>
        <v/>
      </c>
      <c r="E230" t="s">
        <v>547</v>
      </c>
      <c r="F230" t="str">
        <f>IF(ISBLANK(Table1[[#This Row],[customer_name]]),"Unknown Customer",PROPER(SUBSTITUTE(Table1[[#This Row],[customer_name]],"Cust.","Customer")))</f>
        <v>Customer 228</v>
      </c>
      <c r="G230" t="s">
        <v>45</v>
      </c>
      <c r="H230" t="str">
        <f>IFERROR(_xlfn.XLOOKUP(Table1[[#This Row],[region]],Mappings!$C$3:$C$8,Mappings!$D$3:$D$8,,0,1),"Unknown")</f>
        <v>USA</v>
      </c>
      <c r="I230" t="s">
        <v>14</v>
      </c>
      <c r="J230" t="str">
        <f>IFERROR(_xlfn.XLOOKUP(Table1[[#This Row],[sales_channel]],Table4[Original],Table4[Clean],,0,1),"Unknown")</f>
        <v>Online</v>
      </c>
      <c r="L230" t="str">
        <f>IFERROR(_xlfn.XLOOKUP(Table1[[#This Row],[product]],Table3[Original],Table3[Product_clean],,0,1),"Unknown")</f>
        <v>Unknown</v>
      </c>
      <c r="M230" s="6">
        <v>1</v>
      </c>
      <c r="N230">
        <f>IF(ISNUMBER(Table1[[#This Row],[quantity]]),Table1[[#This Row],[quantity]],IFERROR(VLOOKUP(Table1[[#This Row],[quantity]],Table5[#All],2,FALSE),"Unknown"))</f>
        <v>1</v>
      </c>
      <c r="O230" t="s">
        <v>548</v>
      </c>
      <c r="P230">
        <f>IFERROR(VALUE(SUBSTITUTE(SUBSTITUTE(SUBSTITUTE(Table1[[#This Row],[revenue]],"EUR",""),"$",""),".",",")),"")</f>
        <v>2261.92</v>
      </c>
      <c r="Q230" t="s">
        <v>22</v>
      </c>
      <c r="R230" t="str">
        <f>IF(OR(Table1[[#This Row],[currency]]="EUR",Table1[[#This Row],[currency]]="€"),"EUR",IF(OR(Table1[[#This Row],[currency]]="USD",Table1[[#This Row],[currency]]="$"),"USD","Unknown"))</f>
        <v>USD</v>
      </c>
      <c r="T230" t="str">
        <f>IFERROR(_xlfn.XLOOKUP(Table1[[#This Row],[order_status]],Table8[Original],Table8[Clean],,0,1),"Unknown")</f>
        <v>Unknown</v>
      </c>
      <c r="V230" t="str">
        <f>IF(ISNUMBER(Table1[[#This Row],[delivery_days]]),Table1[[#This Row],[delivery_days]],IFERROR(_xlfn.XLOOKUP(Table1[[#This Row],[delivery_days]],Table57[Original],Table57[Clean],,0,1),"Unknown"))</f>
        <v>Unknown</v>
      </c>
      <c r="W230" t="s">
        <v>24</v>
      </c>
    </row>
    <row r="231" spans="1:23" x14ac:dyDescent="0.3">
      <c r="A231">
        <v>1229</v>
      </c>
      <c r="B231" t="str">
        <f>IF(ISBLANK(Table1[[#This Row],[order_id]]),"",IF(LEFT(Table1[[#This Row],[order_id]],3)="ORD",Table1[[#This Row],[order_id]],"ORD-" &amp; Table1[[#This Row],[order_id]]))</f>
        <v>ORD-1229</v>
      </c>
      <c r="D231" s="1" t="str">
        <f>IFERROR(DATEVALUE(Table1[[#This Row],[order_date]]),"")</f>
        <v/>
      </c>
      <c r="E231" t="s">
        <v>549</v>
      </c>
      <c r="F231" t="str">
        <f>IF(ISBLANK(Table1[[#This Row],[customer_name]]),"Unknown Customer",PROPER(SUBSTITUTE(Table1[[#This Row],[customer_name]],"Cust.","Customer")))</f>
        <v>Customer 229</v>
      </c>
      <c r="G231" t="s">
        <v>32</v>
      </c>
      <c r="H231" t="str">
        <f>IFERROR(_xlfn.XLOOKUP(Table1[[#This Row],[region]],Mappings!$C$3:$C$8,Mappings!$D$3:$D$8,,0,1),"Unknown")</f>
        <v>Europe</v>
      </c>
      <c r="I231" t="s">
        <v>50</v>
      </c>
      <c r="J231" t="str">
        <f>IFERROR(_xlfn.XLOOKUP(Table1[[#This Row],[sales_channel]],Table4[Original],Table4[Clean],,0,1),"Unknown")</f>
        <v>Mobile</v>
      </c>
      <c r="K231" t="s">
        <v>102</v>
      </c>
      <c r="L231" t="str">
        <f>IFERROR(_xlfn.XLOOKUP(Table1[[#This Row],[product]],Table3[Original],Table3[Product_clean],,0,1),"Unknown")</f>
        <v>Phone</v>
      </c>
      <c r="M231" s="6">
        <v>3</v>
      </c>
      <c r="N231">
        <f>IF(ISNUMBER(Table1[[#This Row],[quantity]]),Table1[[#This Row],[quantity]],IFERROR(VLOOKUP(Table1[[#This Row],[quantity]],Table5[#All],2,FALSE),"Unknown"))</f>
        <v>3</v>
      </c>
      <c r="P231" t="str">
        <f>IFERROR(VALUE(SUBSTITUTE(SUBSTITUTE(SUBSTITUTE(Table1[[#This Row],[revenue]],"EUR",""),"$",""),".",",")),"")</f>
        <v/>
      </c>
      <c r="Q231" t="s">
        <v>55</v>
      </c>
      <c r="R231" t="str">
        <f>IF(OR(Table1[[#This Row],[currency]]="EUR",Table1[[#This Row],[currency]]="€"),"EUR",IF(OR(Table1[[#This Row],[currency]]="USD",Table1[[#This Row],[currency]]="$"),"USD","Unknown"))</f>
        <v>EUR</v>
      </c>
      <c r="S231" t="s">
        <v>18</v>
      </c>
      <c r="T231" t="str">
        <f>IFERROR(_xlfn.XLOOKUP(Table1[[#This Row],[order_status]],Table8[Original],Table8[Clean],,0,1),"Unknown")</f>
        <v>Pending</v>
      </c>
      <c r="U231" t="s">
        <v>36</v>
      </c>
      <c r="V231">
        <f>IF(ISNUMBER(Table1[[#This Row],[delivery_days]]),Table1[[#This Row],[delivery_days]],IFERROR(_xlfn.XLOOKUP(Table1[[#This Row],[delivery_days]],Table57[Original],Table57[Clean],,0,1),"Unknown"))</f>
        <v>5</v>
      </c>
      <c r="W231" t="s">
        <v>37</v>
      </c>
    </row>
    <row r="232" spans="1:23" x14ac:dyDescent="0.3">
      <c r="B232" t="str">
        <f>IF(ISBLANK(Table1[[#This Row],[order_id]]),"",IF(LEFT(Table1[[#This Row],[order_id]],3)="ORD",Table1[[#This Row],[order_id]],"ORD-" &amp; Table1[[#This Row],[order_id]]))</f>
        <v/>
      </c>
      <c r="C232" t="s">
        <v>550</v>
      </c>
      <c r="D232" s="1">
        <f>IFERROR(DATEVALUE(Table1[[#This Row],[order_date]]),"")</f>
        <v>45581</v>
      </c>
      <c r="E232" t="s">
        <v>551</v>
      </c>
      <c r="F232" t="str">
        <f>IF(ISBLANK(Table1[[#This Row],[customer_name]]),"Unknown Customer",PROPER(SUBSTITUTE(Table1[[#This Row],[customer_name]],"Cust.","Customer")))</f>
        <v>Customer 230</v>
      </c>
      <c r="G232" t="s">
        <v>73</v>
      </c>
      <c r="H232" t="str">
        <f>IFERROR(_xlfn.XLOOKUP(Table1[[#This Row],[region]],Mappings!$C$3:$C$8,Mappings!$D$3:$D$8,,0,1),"Unknown")</f>
        <v>Europe</v>
      </c>
      <c r="J232" t="str">
        <f>IFERROR(_xlfn.XLOOKUP(Table1[[#This Row],[sales_channel]],Table4[Original],Table4[Clean],,0,1),"Unknown")</f>
        <v>Unknown</v>
      </c>
      <c r="L232" t="str">
        <f>IFERROR(_xlfn.XLOOKUP(Table1[[#This Row],[product]],Table3[Original],Table3[Product_clean],,0,1),"Unknown")</f>
        <v>Unknown</v>
      </c>
      <c r="M232" s="6" t="s">
        <v>83</v>
      </c>
      <c r="N232">
        <f>IF(ISNUMBER(Table1[[#This Row],[quantity]]),Table1[[#This Row],[quantity]],IFERROR(VLOOKUP(Table1[[#This Row],[quantity]],Table5[#All],2,FALSE),"Unknown"))</f>
        <v>2</v>
      </c>
      <c r="O232" t="s">
        <v>552</v>
      </c>
      <c r="P232">
        <f>IFERROR(VALUE(SUBSTITUTE(SUBSTITUTE(SUBSTITUTE(Table1[[#This Row],[revenue]],"EUR",""),"$",""),".",",")),"")</f>
        <v>2564.65</v>
      </c>
      <c r="Q232" t="s">
        <v>17</v>
      </c>
      <c r="R232" t="str">
        <f>IF(OR(Table1[[#This Row],[currency]]="EUR",Table1[[#This Row],[currency]]="€"),"EUR",IF(OR(Table1[[#This Row],[currency]]="USD",Table1[[#This Row],[currency]]="$"),"USD","Unknown"))</f>
        <v>EUR</v>
      </c>
      <c r="S232" t="s">
        <v>30</v>
      </c>
      <c r="T232" t="str">
        <f>IFERROR(_xlfn.XLOOKUP(Table1[[#This Row],[order_status]],Table8[Original],Table8[Clean],,0,1),"Unknown")</f>
        <v>Delivered</v>
      </c>
      <c r="U232">
        <v>2</v>
      </c>
      <c r="V232">
        <f>IF(ISNUMBER(Table1[[#This Row],[delivery_days]]),Table1[[#This Row],[delivery_days]],IFERROR(_xlfn.XLOOKUP(Table1[[#This Row],[delivery_days]],Table57[Original],Table57[Clean],,0,1),"Unknown"))</f>
        <v>2</v>
      </c>
    </row>
    <row r="233" spans="1:23" x14ac:dyDescent="0.3">
      <c r="A233">
        <v>1231</v>
      </c>
      <c r="B233" t="str">
        <f>IF(ISBLANK(Table1[[#This Row],[order_id]]),"",IF(LEFT(Table1[[#This Row],[order_id]],3)="ORD",Table1[[#This Row],[order_id]],"ORD-" &amp; Table1[[#This Row],[order_id]]))</f>
        <v>ORD-1231</v>
      </c>
      <c r="C233" t="s">
        <v>197</v>
      </c>
      <c r="D233" s="1">
        <f>IFERROR(DATEVALUE(Table1[[#This Row],[order_date]]),"")</f>
        <v>45525</v>
      </c>
      <c r="E233" t="s">
        <v>553</v>
      </c>
      <c r="F233" t="str">
        <f>IF(ISBLANK(Table1[[#This Row],[customer_name]]),"Unknown Customer",PROPER(SUBSTITUTE(Table1[[#This Row],[customer_name]],"Cust.","Customer")))</f>
        <v>Customer 231</v>
      </c>
      <c r="G233" t="s">
        <v>54</v>
      </c>
      <c r="H233" t="str">
        <f>IFERROR(_xlfn.XLOOKUP(Table1[[#This Row],[region]],Mappings!$C$3:$C$8,Mappings!$D$3:$D$8,,0,1),"Unknown")</f>
        <v>USA</v>
      </c>
      <c r="I233" t="s">
        <v>50</v>
      </c>
      <c r="J233" t="str">
        <f>IFERROR(_xlfn.XLOOKUP(Table1[[#This Row],[sales_channel]],Table4[Original],Table4[Clean],,0,1),"Unknown")</f>
        <v>Mobile</v>
      </c>
      <c r="K233" t="s">
        <v>51</v>
      </c>
      <c r="L233" t="str">
        <f>IFERROR(_xlfn.XLOOKUP(Table1[[#This Row],[product]],Table3[Original],Table3[Product_clean],,0,1),"Unknown")</f>
        <v>Laptop</v>
      </c>
      <c r="M233" s="6">
        <v>3</v>
      </c>
      <c r="N233">
        <f>IF(ISNUMBER(Table1[[#This Row],[quantity]]),Table1[[#This Row],[quantity]],IFERROR(VLOOKUP(Table1[[#This Row],[quantity]],Table5[#All],2,FALSE),"Unknown"))</f>
        <v>3</v>
      </c>
      <c r="P233" t="str">
        <f>IFERROR(VALUE(SUBSTITUTE(SUBSTITUTE(SUBSTITUTE(Table1[[#This Row],[revenue]],"EUR",""),"$",""),".",",")),"")</f>
        <v/>
      </c>
      <c r="Q233" t="s">
        <v>55</v>
      </c>
      <c r="R233" t="str">
        <f>IF(OR(Table1[[#This Row],[currency]]="EUR",Table1[[#This Row],[currency]]="€"),"EUR",IF(OR(Table1[[#This Row],[currency]]="USD",Table1[[#This Row],[currency]]="$"),"USD","Unknown"))</f>
        <v>EUR</v>
      </c>
      <c r="S233" t="s">
        <v>30</v>
      </c>
      <c r="T233" t="str">
        <f>IFERROR(_xlfn.XLOOKUP(Table1[[#This Row],[order_status]],Table8[Original],Table8[Clean],,0,1),"Unknown")</f>
        <v>Delivered</v>
      </c>
      <c r="U233">
        <v>3</v>
      </c>
      <c r="V233">
        <f>IF(ISNUMBER(Table1[[#This Row],[delivery_days]]),Table1[[#This Row],[delivery_days]],IFERROR(_xlfn.XLOOKUP(Table1[[#This Row],[delivery_days]],Table57[Original],Table57[Clean],,0,1),"Unknown"))</f>
        <v>3</v>
      </c>
      <c r="W233" t="s">
        <v>37</v>
      </c>
    </row>
    <row r="234" spans="1:23" x14ac:dyDescent="0.3">
      <c r="B234" t="str">
        <f>IF(ISBLANK(Table1[[#This Row],[order_id]]),"",IF(LEFT(Table1[[#This Row],[order_id]],3)="ORD",Table1[[#This Row],[order_id]],"ORD-" &amp; Table1[[#This Row],[order_id]]))</f>
        <v/>
      </c>
      <c r="C234" t="s">
        <v>554</v>
      </c>
      <c r="D234" s="1">
        <f>IFERROR(DATEVALUE(Table1[[#This Row],[order_date]]),"")</f>
        <v>45318</v>
      </c>
      <c r="F234" t="str">
        <f>IF(ISBLANK(Table1[[#This Row],[customer_name]]),"Unknown Customer",PROPER(SUBSTITUTE(Table1[[#This Row],[customer_name]],"Cust.","Customer")))</f>
        <v>Unknown Customer</v>
      </c>
      <c r="H234" t="str">
        <f>IFERROR(_xlfn.XLOOKUP(Table1[[#This Row],[region]],Mappings!$C$3:$C$8,Mappings!$D$3:$D$8,,0,1),"Unknown")</f>
        <v>Unknown</v>
      </c>
      <c r="I234" t="s">
        <v>14</v>
      </c>
      <c r="J234" t="str">
        <f>IFERROR(_xlfn.XLOOKUP(Table1[[#This Row],[sales_channel]],Table4[Original],Table4[Clean],,0,1),"Unknown")</f>
        <v>Online</v>
      </c>
      <c r="K234" t="s">
        <v>15</v>
      </c>
      <c r="L234" t="str">
        <f>IFERROR(_xlfn.XLOOKUP(Table1[[#This Row],[product]],Table3[Original],Table3[Product_clean],,0,1),"Unknown")</f>
        <v>Tablet</v>
      </c>
      <c r="M234" s="6">
        <v>1</v>
      </c>
      <c r="N234">
        <f>IF(ISNUMBER(Table1[[#This Row],[quantity]]),Table1[[#This Row],[quantity]],IFERROR(VLOOKUP(Table1[[#This Row],[quantity]],Table5[#All],2,FALSE),"Unknown"))</f>
        <v>1</v>
      </c>
      <c r="O234" t="s">
        <v>555</v>
      </c>
      <c r="P234">
        <f>IFERROR(VALUE(SUBSTITUTE(SUBSTITUTE(SUBSTITUTE(Table1[[#This Row],[revenue]],"EUR",""),"$",""),".",",")),"")</f>
        <v>1219.21</v>
      </c>
      <c r="Q234" t="s">
        <v>17</v>
      </c>
      <c r="R234" t="str">
        <f>IF(OR(Table1[[#This Row],[currency]]="EUR",Table1[[#This Row],[currency]]="€"),"EUR",IF(OR(Table1[[#This Row],[currency]]="USD",Table1[[#This Row],[currency]]="$"),"USD","Unknown"))</f>
        <v>EUR</v>
      </c>
      <c r="S234" t="s">
        <v>23</v>
      </c>
      <c r="T234" t="str">
        <f>IFERROR(_xlfn.XLOOKUP(Table1[[#This Row],[order_status]],Table8[Original],Table8[Clean],,0,1),"Unknown")</f>
        <v>Delivered</v>
      </c>
      <c r="U234">
        <v>5</v>
      </c>
      <c r="V234">
        <f>IF(ISNUMBER(Table1[[#This Row],[delivery_days]]),Table1[[#This Row],[delivery_days]],IFERROR(_xlfn.XLOOKUP(Table1[[#This Row],[delivery_days]],Table57[Original],Table57[Clean],,0,1),"Unknown"))</f>
        <v>5</v>
      </c>
    </row>
    <row r="235" spans="1:23" x14ac:dyDescent="0.3">
      <c r="A235">
        <v>1233</v>
      </c>
      <c r="B235" t="str">
        <f>IF(ISBLANK(Table1[[#This Row],[order_id]]),"",IF(LEFT(Table1[[#This Row],[order_id]],3)="ORD",Table1[[#This Row],[order_id]],"ORD-" &amp; Table1[[#This Row],[order_id]]))</f>
        <v>ORD-1233</v>
      </c>
      <c r="C235" t="s">
        <v>556</v>
      </c>
      <c r="D235" s="1">
        <f>IFERROR(DATEVALUE(Table1[[#This Row],[order_date]]),"")</f>
        <v>45359</v>
      </c>
      <c r="E235" t="s">
        <v>557</v>
      </c>
      <c r="F235" t="str">
        <f>IF(ISBLANK(Table1[[#This Row],[customer_name]]),"Unknown Customer",PROPER(SUBSTITUTE(Table1[[#This Row],[customer_name]],"Cust.","Customer")))</f>
        <v>Customer 233</v>
      </c>
      <c r="H235" t="str">
        <f>IFERROR(_xlfn.XLOOKUP(Table1[[#This Row],[region]],Mappings!$C$3:$C$8,Mappings!$D$3:$D$8,,0,1),"Unknown")</f>
        <v>Unknown</v>
      </c>
      <c r="I235" t="s">
        <v>14</v>
      </c>
      <c r="J235" t="str">
        <f>IFERROR(_xlfn.XLOOKUP(Table1[[#This Row],[sales_channel]],Table4[Original],Table4[Clean],,0,1),"Unknown")</f>
        <v>Online</v>
      </c>
      <c r="L235" t="str">
        <f>IFERROR(_xlfn.XLOOKUP(Table1[[#This Row],[product]],Table3[Original],Table3[Product_clean],,0,1),"Unknown")</f>
        <v>Unknown</v>
      </c>
      <c r="M235" s="6" t="s">
        <v>83</v>
      </c>
      <c r="N235">
        <f>IF(ISNUMBER(Table1[[#This Row],[quantity]]),Table1[[#This Row],[quantity]],IFERROR(VLOOKUP(Table1[[#This Row],[quantity]],Table5[#All],2,FALSE),"Unknown"))</f>
        <v>2</v>
      </c>
      <c r="P235" t="str">
        <f>IFERROR(VALUE(SUBSTITUTE(SUBSTITUTE(SUBSTITUTE(Table1[[#This Row],[revenue]],"EUR",""),"$",""),".",",")),"")</f>
        <v/>
      </c>
      <c r="Q235" t="s">
        <v>58</v>
      </c>
      <c r="R235" t="str">
        <f>IF(OR(Table1[[#This Row],[currency]]="EUR",Table1[[#This Row],[currency]]="€"),"EUR",IF(OR(Table1[[#This Row],[currency]]="USD",Table1[[#This Row],[currency]]="$"),"USD","Unknown"))</f>
        <v>USD</v>
      </c>
      <c r="S235" t="s">
        <v>47</v>
      </c>
      <c r="T235" t="str">
        <f>IFERROR(_xlfn.XLOOKUP(Table1[[#This Row],[order_status]],Table8[Original],Table8[Clean],,0,1),"Unknown")</f>
        <v>Returned</v>
      </c>
      <c r="U235">
        <v>1</v>
      </c>
      <c r="V235">
        <f>IF(ISNUMBER(Table1[[#This Row],[delivery_days]]),Table1[[#This Row],[delivery_days]],IFERROR(_xlfn.XLOOKUP(Table1[[#This Row],[delivery_days]],Table57[Original],Table57[Clean],,0,1),"Unknown"))</f>
        <v>1</v>
      </c>
      <c r="W235" t="s">
        <v>37</v>
      </c>
    </row>
    <row r="236" spans="1:23" x14ac:dyDescent="0.3">
      <c r="A236">
        <v>1234</v>
      </c>
      <c r="B236" t="str">
        <f>IF(ISBLANK(Table1[[#This Row],[order_id]]),"",IF(LEFT(Table1[[#This Row],[order_id]],3)="ORD",Table1[[#This Row],[order_id]],"ORD-" &amp; Table1[[#This Row],[order_id]]))</f>
        <v>ORD-1234</v>
      </c>
      <c r="C236" t="s">
        <v>558</v>
      </c>
      <c r="D236" s="1" t="str">
        <f>IFERROR(DATEVALUE(Table1[[#This Row],[order_date]]),"")</f>
        <v/>
      </c>
      <c r="E236" t="s">
        <v>559</v>
      </c>
      <c r="F236" t="str">
        <f>IF(ISBLANK(Table1[[#This Row],[customer_name]]),"Unknown Customer",PROPER(SUBSTITUTE(Table1[[#This Row],[customer_name]],"Cust.","Customer")))</f>
        <v>Customer 234</v>
      </c>
      <c r="G236" t="s">
        <v>26</v>
      </c>
      <c r="H236" t="str">
        <f>IFERROR(_xlfn.XLOOKUP(Table1[[#This Row],[region]],Mappings!$C$3:$C$8,Mappings!$D$3:$D$8,,0,1),"Unknown")</f>
        <v>Asia</v>
      </c>
      <c r="I236" t="s">
        <v>27</v>
      </c>
      <c r="J236" t="str">
        <f>IFERROR(_xlfn.XLOOKUP(Table1[[#This Row],[sales_channel]],Table4[Original],Table4[Clean],,0,1),"Unknown")</f>
        <v>Online</v>
      </c>
      <c r="K236" t="s">
        <v>41</v>
      </c>
      <c r="L236" t="str">
        <f>IFERROR(_xlfn.XLOOKUP(Table1[[#This Row],[product]],Table3[Original],Table3[Product_clean],,0,1),"Unknown")</f>
        <v>Phone</v>
      </c>
      <c r="M236" s="6">
        <v>2</v>
      </c>
      <c r="N236">
        <f>IF(ISNUMBER(Table1[[#This Row],[quantity]]),Table1[[#This Row],[quantity]],IFERROR(VLOOKUP(Table1[[#This Row],[quantity]],Table5[#All],2,FALSE),"Unknown"))</f>
        <v>2</v>
      </c>
      <c r="O236">
        <v>313.52999999999997</v>
      </c>
      <c r="P236">
        <f>IFERROR(VALUE(SUBSTITUTE(SUBSTITUTE(SUBSTITUTE(Table1[[#This Row],[revenue]],"EUR",""),"$",""),".",",")),"")</f>
        <v>313.52999999999997</v>
      </c>
      <c r="Q236" t="s">
        <v>58</v>
      </c>
      <c r="R236" t="str">
        <f>IF(OR(Table1[[#This Row],[currency]]="EUR",Table1[[#This Row],[currency]]="€"),"EUR",IF(OR(Table1[[#This Row],[currency]]="USD",Table1[[#This Row],[currency]]="$"),"USD","Unknown"))</f>
        <v>USD</v>
      </c>
      <c r="S236" t="s">
        <v>30</v>
      </c>
      <c r="T236" t="str">
        <f>IFERROR(_xlfn.XLOOKUP(Table1[[#This Row],[order_status]],Table8[Original],Table8[Clean],,0,1),"Unknown")</f>
        <v>Delivered</v>
      </c>
      <c r="U236" t="s">
        <v>36</v>
      </c>
      <c r="V236">
        <f>IF(ISNUMBER(Table1[[#This Row],[delivery_days]]),Table1[[#This Row],[delivery_days]],IFERROR(_xlfn.XLOOKUP(Table1[[#This Row],[delivery_days]],Table57[Original],Table57[Clean],,0,1),"Unknown"))</f>
        <v>5</v>
      </c>
    </row>
    <row r="237" spans="1:23" x14ac:dyDescent="0.3">
      <c r="A237" t="s">
        <v>560</v>
      </c>
      <c r="B237" t="str">
        <f>IF(ISBLANK(Table1[[#This Row],[order_id]]),"",IF(LEFT(Table1[[#This Row],[order_id]],3)="ORD",Table1[[#This Row],[order_id]],"ORD-" &amp; Table1[[#This Row],[order_id]]))</f>
        <v>ORD-1235</v>
      </c>
      <c r="C237" t="s">
        <v>561</v>
      </c>
      <c r="D237" s="1">
        <f>IFERROR(DATEVALUE(Table1[[#This Row],[order_date]]),"")</f>
        <v>45604</v>
      </c>
      <c r="E237" t="s">
        <v>562</v>
      </c>
      <c r="F237" t="str">
        <f>IF(ISBLANK(Table1[[#This Row],[customer_name]]),"Unknown Customer",PROPER(SUBSTITUTE(Table1[[#This Row],[customer_name]],"Cust.","Customer")))</f>
        <v>Customer 235</v>
      </c>
      <c r="G237" t="s">
        <v>32</v>
      </c>
      <c r="H237" t="str">
        <f>IFERROR(_xlfn.XLOOKUP(Table1[[#This Row],[region]],Mappings!$C$3:$C$8,Mappings!$D$3:$D$8,,0,1),"Unknown")</f>
        <v>Europe</v>
      </c>
      <c r="I237" t="s">
        <v>68</v>
      </c>
      <c r="J237" t="str">
        <f>IFERROR(_xlfn.XLOOKUP(Table1[[#This Row],[sales_channel]],Table4[Original],Table4[Clean],,0,1),"Unknown")</f>
        <v>Online</v>
      </c>
      <c r="K237" t="s">
        <v>15</v>
      </c>
      <c r="L237" t="str">
        <f>IFERROR(_xlfn.XLOOKUP(Table1[[#This Row],[product]],Table3[Original],Table3[Product_clean],,0,1),"Unknown")</f>
        <v>Tablet</v>
      </c>
      <c r="M237" s="6" t="s">
        <v>83</v>
      </c>
      <c r="N237">
        <f>IF(ISNUMBER(Table1[[#This Row],[quantity]]),Table1[[#This Row],[quantity]],IFERROR(VLOOKUP(Table1[[#This Row],[quantity]],Table5[#All],2,FALSE),"Unknown"))</f>
        <v>2</v>
      </c>
      <c r="P237" t="str">
        <f>IFERROR(VALUE(SUBSTITUTE(SUBSTITUTE(SUBSTITUTE(Table1[[#This Row],[revenue]],"EUR",""),"$",""),".",",")),"")</f>
        <v/>
      </c>
      <c r="Q237" t="s">
        <v>58</v>
      </c>
      <c r="R237" t="str">
        <f>IF(OR(Table1[[#This Row],[currency]]="EUR",Table1[[#This Row],[currency]]="€"),"EUR",IF(OR(Table1[[#This Row],[currency]]="USD",Table1[[#This Row],[currency]]="$"),"USD","Unknown"))</f>
        <v>USD</v>
      </c>
      <c r="S237" t="s">
        <v>30</v>
      </c>
      <c r="T237" t="str">
        <f>IFERROR(_xlfn.XLOOKUP(Table1[[#This Row],[order_status]],Table8[Original],Table8[Clean],,0,1),"Unknown")</f>
        <v>Delivered</v>
      </c>
      <c r="U237">
        <v>1</v>
      </c>
      <c r="V237">
        <f>IF(ISNUMBER(Table1[[#This Row],[delivery_days]]),Table1[[#This Row],[delivery_days]],IFERROR(_xlfn.XLOOKUP(Table1[[#This Row],[delivery_days]],Table57[Original],Table57[Clean],,0,1),"Unknown"))</f>
        <v>1</v>
      </c>
      <c r="W237" t="s">
        <v>37</v>
      </c>
    </row>
    <row r="238" spans="1:23" x14ac:dyDescent="0.3">
      <c r="A238" t="s">
        <v>563</v>
      </c>
      <c r="B238" t="str">
        <f>IF(ISBLANK(Table1[[#This Row],[order_id]]),"",IF(LEFT(Table1[[#This Row],[order_id]],3)="ORD",Table1[[#This Row],[order_id]],"ORD-" &amp; Table1[[#This Row],[order_id]]))</f>
        <v>ORD-1236</v>
      </c>
      <c r="D238" s="1" t="str">
        <f>IFERROR(DATEVALUE(Table1[[#This Row],[order_date]]),"")</f>
        <v/>
      </c>
      <c r="E238" t="s">
        <v>564</v>
      </c>
      <c r="F238" t="str">
        <f>IF(ISBLANK(Table1[[#This Row],[customer_name]]),"Unknown Customer",PROPER(SUBSTITUTE(Table1[[#This Row],[customer_name]],"Cust.","Customer")))</f>
        <v>Customer 236</v>
      </c>
      <c r="H238" t="str">
        <f>IFERROR(_xlfn.XLOOKUP(Table1[[#This Row],[region]],Mappings!$C$3:$C$8,Mappings!$D$3:$D$8,,0,1),"Unknown")</f>
        <v>Unknown</v>
      </c>
      <c r="I238" t="s">
        <v>27</v>
      </c>
      <c r="J238" t="str">
        <f>IFERROR(_xlfn.XLOOKUP(Table1[[#This Row],[sales_channel]],Table4[Original],Table4[Clean],,0,1),"Unknown")</f>
        <v>Online</v>
      </c>
      <c r="K238" t="s">
        <v>28</v>
      </c>
      <c r="L238" t="str">
        <f>IFERROR(_xlfn.XLOOKUP(Table1[[#This Row],[product]],Table3[Original],Table3[Product_clean],,0,1),"Unknown")</f>
        <v>Laptop</v>
      </c>
      <c r="M238" s="6">
        <v>3</v>
      </c>
      <c r="N238">
        <f>IF(ISNUMBER(Table1[[#This Row],[quantity]]),Table1[[#This Row],[quantity]],IFERROR(VLOOKUP(Table1[[#This Row],[quantity]],Table5[#All],2,FALSE),"Unknown"))</f>
        <v>3</v>
      </c>
      <c r="P238" t="str">
        <f>IFERROR(VALUE(SUBSTITUTE(SUBSTITUTE(SUBSTITUTE(Table1[[#This Row],[revenue]],"EUR",""),"$",""),".",",")),"")</f>
        <v/>
      </c>
      <c r="Q238" t="s">
        <v>17</v>
      </c>
      <c r="R238" t="str">
        <f>IF(OR(Table1[[#This Row],[currency]]="EUR",Table1[[#This Row],[currency]]="€"),"EUR",IF(OR(Table1[[#This Row],[currency]]="USD",Table1[[#This Row],[currency]]="$"),"USD","Unknown"))</f>
        <v>EUR</v>
      </c>
      <c r="S238" t="s">
        <v>23</v>
      </c>
      <c r="T238" t="str">
        <f>IFERROR(_xlfn.XLOOKUP(Table1[[#This Row],[order_status]],Table8[Original],Table8[Clean],,0,1),"Unknown")</f>
        <v>Delivered</v>
      </c>
      <c r="U238" t="s">
        <v>36</v>
      </c>
      <c r="V238">
        <f>IF(ISNUMBER(Table1[[#This Row],[delivery_days]]),Table1[[#This Row],[delivery_days]],IFERROR(_xlfn.XLOOKUP(Table1[[#This Row],[delivery_days]],Table57[Original],Table57[Clean],,0,1),"Unknown"))</f>
        <v>5</v>
      </c>
      <c r="W238" t="s">
        <v>24</v>
      </c>
    </row>
    <row r="239" spans="1:23" x14ac:dyDescent="0.3">
      <c r="B239" t="str">
        <f>IF(ISBLANK(Table1[[#This Row],[order_id]]),"",IF(LEFT(Table1[[#This Row],[order_id]],3)="ORD",Table1[[#This Row],[order_id]],"ORD-" &amp; Table1[[#This Row],[order_id]]))</f>
        <v/>
      </c>
      <c r="C239" t="s">
        <v>565</v>
      </c>
      <c r="D239" s="1">
        <f>IFERROR(DATEVALUE(Table1[[#This Row],[order_date]]),"")</f>
        <v>45690</v>
      </c>
      <c r="E239" t="s">
        <v>566</v>
      </c>
      <c r="F239" t="str">
        <f>IF(ISBLANK(Table1[[#This Row],[customer_name]]),"Unknown Customer",PROPER(SUBSTITUTE(Table1[[#This Row],[customer_name]],"Cust.","Customer")))</f>
        <v>Customer 237</v>
      </c>
      <c r="G239" t="s">
        <v>45</v>
      </c>
      <c r="H239" t="str">
        <f>IFERROR(_xlfn.XLOOKUP(Table1[[#This Row],[region]],Mappings!$C$3:$C$8,Mappings!$D$3:$D$8,,0,1),"Unknown")</f>
        <v>USA</v>
      </c>
      <c r="I239" t="s">
        <v>68</v>
      </c>
      <c r="J239" t="str">
        <f>IFERROR(_xlfn.XLOOKUP(Table1[[#This Row],[sales_channel]],Table4[Original],Table4[Clean],,0,1),"Unknown")</f>
        <v>Online</v>
      </c>
      <c r="K239" t="s">
        <v>33</v>
      </c>
      <c r="L239" t="str">
        <f>IFERROR(_xlfn.XLOOKUP(Table1[[#This Row],[product]],Table3[Original],Table3[Product_clean],,0,1),"Unknown")</f>
        <v>Tablet</v>
      </c>
      <c r="M239" s="6">
        <v>2</v>
      </c>
      <c r="N239">
        <f>IF(ISNUMBER(Table1[[#This Row],[quantity]]),Table1[[#This Row],[quantity]],IFERROR(VLOOKUP(Table1[[#This Row],[quantity]],Table5[#All],2,FALSE),"Unknown"))</f>
        <v>2</v>
      </c>
      <c r="O239">
        <v>2826.77</v>
      </c>
      <c r="P239">
        <f>IFERROR(VALUE(SUBSTITUTE(SUBSTITUTE(SUBSTITUTE(Table1[[#This Row],[revenue]],"EUR",""),"$",""),".",",")),"")</f>
        <v>2826.77</v>
      </c>
      <c r="Q239" t="s">
        <v>22</v>
      </c>
      <c r="R239" t="str">
        <f>IF(OR(Table1[[#This Row],[currency]]="EUR",Table1[[#This Row],[currency]]="€"),"EUR",IF(OR(Table1[[#This Row],[currency]]="USD",Table1[[#This Row],[currency]]="$"),"USD","Unknown"))</f>
        <v>USD</v>
      </c>
      <c r="S239" t="s">
        <v>35</v>
      </c>
      <c r="T239" t="str">
        <f>IFERROR(_xlfn.XLOOKUP(Table1[[#This Row],[order_status]],Table8[Original],Table8[Clean],,0,1),"Unknown")</f>
        <v>Returned</v>
      </c>
      <c r="V239" t="str">
        <f>IF(ISNUMBER(Table1[[#This Row],[delivery_days]]),Table1[[#This Row],[delivery_days]],IFERROR(_xlfn.XLOOKUP(Table1[[#This Row],[delivery_days]],Table57[Original],Table57[Clean],,0,1),"Unknown"))</f>
        <v>Unknown</v>
      </c>
    </row>
    <row r="240" spans="1:23" x14ac:dyDescent="0.3">
      <c r="A240" t="s">
        <v>567</v>
      </c>
      <c r="B240" t="str">
        <f>IF(ISBLANK(Table1[[#This Row],[order_id]]),"",IF(LEFT(Table1[[#This Row],[order_id]],3)="ORD",Table1[[#This Row],[order_id]],"ORD-" &amp; Table1[[#This Row],[order_id]]))</f>
        <v>ORD-1238</v>
      </c>
      <c r="D240" s="1" t="str">
        <f>IFERROR(DATEVALUE(Table1[[#This Row],[order_date]]),"")</f>
        <v/>
      </c>
      <c r="E240" t="s">
        <v>568</v>
      </c>
      <c r="F240" t="str">
        <f>IF(ISBLANK(Table1[[#This Row],[customer_name]]),"Unknown Customer",PROPER(SUBSTITUTE(Table1[[#This Row],[customer_name]],"Cust.","Customer")))</f>
        <v>Customer 238</v>
      </c>
      <c r="G240" t="s">
        <v>54</v>
      </c>
      <c r="H240" t="str">
        <f>IFERROR(_xlfn.XLOOKUP(Table1[[#This Row],[region]],Mappings!$C$3:$C$8,Mappings!$D$3:$D$8,,0,1),"Unknown")</f>
        <v>USA</v>
      </c>
      <c r="I240" t="s">
        <v>78</v>
      </c>
      <c r="J240" t="str">
        <f>IFERROR(_xlfn.XLOOKUP(Table1[[#This Row],[sales_channel]],Table4[Original],Table4[Clean],,0,1),"Unknown")</f>
        <v>Mobile</v>
      </c>
      <c r="K240" t="s">
        <v>15</v>
      </c>
      <c r="L240" t="str">
        <f>IFERROR(_xlfn.XLOOKUP(Table1[[#This Row],[product]],Table3[Original],Table3[Product_clean],,0,1),"Unknown")</f>
        <v>Tablet</v>
      </c>
      <c r="M240" s="6"/>
      <c r="N240" t="str">
        <f>IF(ISNUMBER(Table1[[#This Row],[quantity]]),Table1[[#This Row],[quantity]],IFERROR(VLOOKUP(Table1[[#This Row],[quantity]],Table5[#All],2,FALSE),"Unknown"))</f>
        <v>Unknown</v>
      </c>
      <c r="O240" t="s">
        <v>569</v>
      </c>
      <c r="P240">
        <f>IFERROR(VALUE(SUBSTITUTE(SUBSTITUTE(SUBSTITUTE(Table1[[#This Row],[revenue]],"EUR",""),"$",""),".",",")),"")</f>
        <v>2698.84</v>
      </c>
      <c r="Q240" t="s">
        <v>17</v>
      </c>
      <c r="R240" t="str">
        <f>IF(OR(Table1[[#This Row],[currency]]="EUR",Table1[[#This Row],[currency]]="€"),"EUR",IF(OR(Table1[[#This Row],[currency]]="USD",Table1[[#This Row],[currency]]="$"),"USD","Unknown"))</f>
        <v>EUR</v>
      </c>
      <c r="S240" t="s">
        <v>18</v>
      </c>
      <c r="T240" t="str">
        <f>IFERROR(_xlfn.XLOOKUP(Table1[[#This Row],[order_status]],Table8[Original],Table8[Clean],,0,1),"Unknown")</f>
        <v>Pending</v>
      </c>
      <c r="U240">
        <v>1</v>
      </c>
      <c r="V240">
        <f>IF(ISNUMBER(Table1[[#This Row],[delivery_days]]),Table1[[#This Row],[delivery_days]],IFERROR(_xlfn.XLOOKUP(Table1[[#This Row],[delivery_days]],Table57[Original],Table57[Clean],,0,1),"Unknown"))</f>
        <v>1</v>
      </c>
      <c r="W240" t="s">
        <v>24</v>
      </c>
    </row>
    <row r="241" spans="1:23" x14ac:dyDescent="0.3">
      <c r="A241" t="s">
        <v>570</v>
      </c>
      <c r="B241" t="str">
        <f>IF(ISBLANK(Table1[[#This Row],[order_id]]),"",IF(LEFT(Table1[[#This Row],[order_id]],3)="ORD",Table1[[#This Row],[order_id]],"ORD-" &amp; Table1[[#This Row],[order_id]]))</f>
        <v>ORD-1239</v>
      </c>
      <c r="C241" t="s">
        <v>571</v>
      </c>
      <c r="D241" s="1">
        <f>IFERROR(DATEVALUE(Table1[[#This Row],[order_date]]),"")</f>
        <v>45454</v>
      </c>
      <c r="F241" t="str">
        <f>IF(ISBLANK(Table1[[#This Row],[customer_name]]),"Unknown Customer",PROPER(SUBSTITUTE(Table1[[#This Row],[customer_name]],"Cust.","Customer")))</f>
        <v>Unknown Customer</v>
      </c>
      <c r="H241" t="str">
        <f>IFERROR(_xlfn.XLOOKUP(Table1[[#This Row],[region]],Mappings!$C$3:$C$8,Mappings!$D$3:$D$8,,0,1),"Unknown")</f>
        <v>Unknown</v>
      </c>
      <c r="I241" t="s">
        <v>14</v>
      </c>
      <c r="J241" t="str">
        <f>IFERROR(_xlfn.XLOOKUP(Table1[[#This Row],[sales_channel]],Table4[Original],Table4[Clean],,0,1),"Unknown")</f>
        <v>Online</v>
      </c>
      <c r="K241" t="s">
        <v>51</v>
      </c>
      <c r="L241" t="str">
        <f>IFERROR(_xlfn.XLOOKUP(Table1[[#This Row],[product]],Table3[Original],Table3[Product_clean],,0,1),"Unknown")</f>
        <v>Laptop</v>
      </c>
      <c r="M241" s="6"/>
      <c r="N241" t="str">
        <f>IF(ISNUMBER(Table1[[#This Row],[quantity]]),Table1[[#This Row],[quantity]],IFERROR(VLOOKUP(Table1[[#This Row],[quantity]],Table5[#All],2,FALSE),"Unknown"))</f>
        <v>Unknown</v>
      </c>
      <c r="P241" t="str">
        <f>IFERROR(VALUE(SUBSTITUTE(SUBSTITUTE(SUBSTITUTE(Table1[[#This Row],[revenue]],"EUR",""),"$",""),".",",")),"")</f>
        <v/>
      </c>
      <c r="Q241" t="s">
        <v>17</v>
      </c>
      <c r="R241" t="str">
        <f>IF(OR(Table1[[#This Row],[currency]]="EUR",Table1[[#This Row],[currency]]="€"),"EUR",IF(OR(Table1[[#This Row],[currency]]="USD",Table1[[#This Row],[currency]]="$"),"USD","Unknown"))</f>
        <v>EUR</v>
      </c>
      <c r="S241" t="s">
        <v>30</v>
      </c>
      <c r="T241" t="str">
        <f>IFERROR(_xlfn.XLOOKUP(Table1[[#This Row],[order_status]],Table8[Original],Table8[Clean],,0,1),"Unknown")</f>
        <v>Delivered</v>
      </c>
      <c r="U241">
        <v>3</v>
      </c>
      <c r="V241">
        <f>IF(ISNUMBER(Table1[[#This Row],[delivery_days]]),Table1[[#This Row],[delivery_days]],IFERROR(_xlfn.XLOOKUP(Table1[[#This Row],[delivery_days]],Table57[Original],Table57[Clean],,0,1),"Unknown"))</f>
        <v>3</v>
      </c>
      <c r="W241" t="s">
        <v>37</v>
      </c>
    </row>
    <row r="242" spans="1:23" x14ac:dyDescent="0.3">
      <c r="B242" t="str">
        <f>IF(ISBLANK(Table1[[#This Row],[order_id]]),"",IF(LEFT(Table1[[#This Row],[order_id]],3)="ORD",Table1[[#This Row],[order_id]],"ORD-" &amp; Table1[[#This Row],[order_id]]))</f>
        <v/>
      </c>
      <c r="C242" t="s">
        <v>572</v>
      </c>
      <c r="D242" s="1" t="str">
        <f>IFERROR(DATEVALUE(Table1[[#This Row],[order_date]]),"")</f>
        <v/>
      </c>
      <c r="F242" t="str">
        <f>IF(ISBLANK(Table1[[#This Row],[customer_name]]),"Unknown Customer",PROPER(SUBSTITUTE(Table1[[#This Row],[customer_name]],"Cust.","Customer")))</f>
        <v>Unknown Customer</v>
      </c>
      <c r="G242" t="s">
        <v>32</v>
      </c>
      <c r="H242" t="str">
        <f>IFERROR(_xlfn.XLOOKUP(Table1[[#This Row],[region]],Mappings!$C$3:$C$8,Mappings!$D$3:$D$8,,0,1),"Unknown")</f>
        <v>Europe</v>
      </c>
      <c r="J242" t="str">
        <f>IFERROR(_xlfn.XLOOKUP(Table1[[#This Row],[sales_channel]],Table4[Original],Table4[Clean],,0,1),"Unknown")</f>
        <v>Unknown</v>
      </c>
      <c r="K242" t="s">
        <v>41</v>
      </c>
      <c r="L242" t="str">
        <f>IFERROR(_xlfn.XLOOKUP(Table1[[#This Row],[product]],Table3[Original],Table3[Product_clean],,0,1),"Unknown")</f>
        <v>Phone</v>
      </c>
      <c r="M242" s="6">
        <v>1</v>
      </c>
      <c r="N242">
        <f>IF(ISNUMBER(Table1[[#This Row],[quantity]]),Table1[[#This Row],[quantity]],IFERROR(VLOOKUP(Table1[[#This Row],[quantity]],Table5[#All],2,FALSE),"Unknown"))</f>
        <v>1</v>
      </c>
      <c r="P242" t="str">
        <f>IFERROR(VALUE(SUBSTITUTE(SUBSTITUTE(SUBSTITUTE(Table1[[#This Row],[revenue]],"EUR",""),"$",""),".",",")),"")</f>
        <v/>
      </c>
      <c r="R242" t="str">
        <f>IF(OR(Table1[[#This Row],[currency]]="EUR",Table1[[#This Row],[currency]]="€"),"EUR",IF(OR(Table1[[#This Row],[currency]]="USD",Table1[[#This Row],[currency]]="$"),"USD","Unknown"))</f>
        <v>Unknown</v>
      </c>
      <c r="S242" t="s">
        <v>18</v>
      </c>
      <c r="T242" t="str">
        <f>IFERROR(_xlfn.XLOOKUP(Table1[[#This Row],[order_status]],Table8[Original],Table8[Clean],,0,1),"Unknown")</f>
        <v>Pending</v>
      </c>
      <c r="U242" t="s">
        <v>36</v>
      </c>
      <c r="V242">
        <f>IF(ISNUMBER(Table1[[#This Row],[delivery_days]]),Table1[[#This Row],[delivery_days]],IFERROR(_xlfn.XLOOKUP(Table1[[#This Row],[delivery_days]],Table57[Original],Table57[Clean],,0,1),"Unknown"))</f>
        <v>5</v>
      </c>
      <c r="W242" t="s">
        <v>37</v>
      </c>
    </row>
    <row r="243" spans="1:23" x14ac:dyDescent="0.3">
      <c r="B243" t="str">
        <f>IF(ISBLANK(Table1[[#This Row],[order_id]]),"",IF(LEFT(Table1[[#This Row],[order_id]],3)="ORD",Table1[[#This Row],[order_id]],"ORD-" &amp; Table1[[#This Row],[order_id]]))</f>
        <v/>
      </c>
      <c r="C243" t="s">
        <v>573</v>
      </c>
      <c r="D243" s="1">
        <f>IFERROR(DATEVALUE(Table1[[#This Row],[order_date]]),"")</f>
        <v>45434</v>
      </c>
      <c r="E243" t="s">
        <v>574</v>
      </c>
      <c r="F243" t="str">
        <f>IF(ISBLANK(Table1[[#This Row],[customer_name]]),"Unknown Customer",PROPER(SUBSTITUTE(Table1[[#This Row],[customer_name]],"Cust.","Customer")))</f>
        <v>Customer 241</v>
      </c>
      <c r="G243" t="s">
        <v>45</v>
      </c>
      <c r="H243" t="str">
        <f>IFERROR(_xlfn.XLOOKUP(Table1[[#This Row],[region]],Mappings!$C$3:$C$8,Mappings!$D$3:$D$8,,0,1),"Unknown")</f>
        <v>USA</v>
      </c>
      <c r="I243" t="s">
        <v>50</v>
      </c>
      <c r="J243" t="str">
        <f>IFERROR(_xlfn.XLOOKUP(Table1[[#This Row],[sales_channel]],Table4[Original],Table4[Clean],,0,1),"Unknown")</f>
        <v>Mobile</v>
      </c>
      <c r="K243" t="s">
        <v>41</v>
      </c>
      <c r="L243" t="str">
        <f>IFERROR(_xlfn.XLOOKUP(Table1[[#This Row],[product]],Table3[Original],Table3[Product_clean],,0,1),"Unknown")</f>
        <v>Phone</v>
      </c>
      <c r="M243" s="6"/>
      <c r="N243" t="str">
        <f>IF(ISNUMBER(Table1[[#This Row],[quantity]]),Table1[[#This Row],[quantity]],IFERROR(VLOOKUP(Table1[[#This Row],[quantity]],Table5[#All],2,FALSE),"Unknown"))</f>
        <v>Unknown</v>
      </c>
      <c r="O243">
        <v>296.61</v>
      </c>
      <c r="P243">
        <f>IFERROR(VALUE(SUBSTITUTE(SUBSTITUTE(SUBSTITUTE(Table1[[#This Row],[revenue]],"EUR",""),"$",""),".",",")),"")</f>
        <v>296.61</v>
      </c>
      <c r="Q243" t="s">
        <v>17</v>
      </c>
      <c r="R243" t="str">
        <f>IF(OR(Table1[[#This Row],[currency]]="EUR",Table1[[#This Row],[currency]]="€"),"EUR",IF(OR(Table1[[#This Row],[currency]]="USD",Table1[[#This Row],[currency]]="$"),"USD","Unknown"))</f>
        <v>EUR</v>
      </c>
      <c r="S243" t="s">
        <v>35</v>
      </c>
      <c r="T243" t="str">
        <f>IFERROR(_xlfn.XLOOKUP(Table1[[#This Row],[order_status]],Table8[Original],Table8[Clean],,0,1),"Unknown")</f>
        <v>Returned</v>
      </c>
      <c r="V243" t="str">
        <f>IF(ISNUMBER(Table1[[#This Row],[delivery_days]]),Table1[[#This Row],[delivery_days]],IFERROR(_xlfn.XLOOKUP(Table1[[#This Row],[delivery_days]],Table57[Original],Table57[Clean],,0,1),"Unknown"))</f>
        <v>Unknown</v>
      </c>
    </row>
    <row r="244" spans="1:23" x14ac:dyDescent="0.3">
      <c r="A244">
        <v>1242</v>
      </c>
      <c r="B244" t="str">
        <f>IF(ISBLANK(Table1[[#This Row],[order_id]]),"",IF(LEFT(Table1[[#This Row],[order_id]],3)="ORD",Table1[[#This Row],[order_id]],"ORD-" &amp; Table1[[#This Row],[order_id]]))</f>
        <v>ORD-1242</v>
      </c>
      <c r="C244" t="s">
        <v>575</v>
      </c>
      <c r="D244" s="1">
        <f>IFERROR(DATEVALUE(Table1[[#This Row],[order_date]]),"")</f>
        <v>45665</v>
      </c>
      <c r="E244" t="s">
        <v>576</v>
      </c>
      <c r="F244" t="str">
        <f>IF(ISBLANK(Table1[[#This Row],[customer_name]]),"Unknown Customer",PROPER(SUBSTITUTE(Table1[[#This Row],[customer_name]],"Cust.","Customer")))</f>
        <v>Customer 242</v>
      </c>
      <c r="G244" t="s">
        <v>32</v>
      </c>
      <c r="H244" t="str">
        <f>IFERROR(_xlfn.XLOOKUP(Table1[[#This Row],[region]],Mappings!$C$3:$C$8,Mappings!$D$3:$D$8,,0,1),"Unknown")</f>
        <v>Europe</v>
      </c>
      <c r="I244" t="s">
        <v>14</v>
      </c>
      <c r="J244" t="str">
        <f>IFERROR(_xlfn.XLOOKUP(Table1[[#This Row],[sales_channel]],Table4[Original],Table4[Clean],,0,1),"Unknown")</f>
        <v>Online</v>
      </c>
      <c r="K244" t="s">
        <v>41</v>
      </c>
      <c r="L244" t="str">
        <f>IFERROR(_xlfn.XLOOKUP(Table1[[#This Row],[product]],Table3[Original],Table3[Product_clean],,0,1),"Unknown")</f>
        <v>Phone</v>
      </c>
      <c r="M244" s="6"/>
      <c r="N244" t="str">
        <f>IF(ISNUMBER(Table1[[#This Row],[quantity]]),Table1[[#This Row],[quantity]],IFERROR(VLOOKUP(Table1[[#This Row],[quantity]],Table5[#All],2,FALSE),"Unknown"))</f>
        <v>Unknown</v>
      </c>
      <c r="O244" t="s">
        <v>577</v>
      </c>
      <c r="P244">
        <f>IFERROR(VALUE(SUBSTITUTE(SUBSTITUTE(SUBSTITUTE(Table1[[#This Row],[revenue]],"EUR",""),"$",""),".",",")),"")</f>
        <v>2862.61</v>
      </c>
      <c r="R244" t="str">
        <f>IF(OR(Table1[[#This Row],[currency]]="EUR",Table1[[#This Row],[currency]]="€"),"EUR",IF(OR(Table1[[#This Row],[currency]]="USD",Table1[[#This Row],[currency]]="$"),"USD","Unknown"))</f>
        <v>Unknown</v>
      </c>
      <c r="S244" t="s">
        <v>30</v>
      </c>
      <c r="T244" t="str">
        <f>IFERROR(_xlfn.XLOOKUP(Table1[[#This Row],[order_status]],Table8[Original],Table8[Clean],,0,1),"Unknown")</f>
        <v>Delivered</v>
      </c>
      <c r="U244">
        <v>3</v>
      </c>
      <c r="V244">
        <f>IF(ISNUMBER(Table1[[#This Row],[delivery_days]]),Table1[[#This Row],[delivery_days]],IFERROR(_xlfn.XLOOKUP(Table1[[#This Row],[delivery_days]],Table57[Original],Table57[Clean],,0,1),"Unknown"))</f>
        <v>3</v>
      </c>
      <c r="W244" t="s">
        <v>37</v>
      </c>
    </row>
    <row r="245" spans="1:23" x14ac:dyDescent="0.3">
      <c r="B245" t="str">
        <f>IF(ISBLANK(Table1[[#This Row],[order_id]]),"",IF(LEFT(Table1[[#This Row],[order_id]],3)="ORD",Table1[[#This Row],[order_id]],"ORD-" &amp; Table1[[#This Row],[order_id]]))</f>
        <v/>
      </c>
      <c r="C245" t="s">
        <v>578</v>
      </c>
      <c r="D245" s="1">
        <f>IFERROR(DATEVALUE(Table1[[#This Row],[order_date]]),"")</f>
        <v>45353</v>
      </c>
      <c r="E245" t="s">
        <v>579</v>
      </c>
      <c r="F245" t="str">
        <f>IF(ISBLANK(Table1[[#This Row],[customer_name]]),"Unknown Customer",PROPER(SUBSTITUTE(Table1[[#This Row],[customer_name]],"Cust.","Customer")))</f>
        <v>Customer 243</v>
      </c>
      <c r="G245" t="s">
        <v>32</v>
      </c>
      <c r="H245" t="str">
        <f>IFERROR(_xlfn.XLOOKUP(Table1[[#This Row],[region]],Mappings!$C$3:$C$8,Mappings!$D$3:$D$8,,0,1),"Unknown")</f>
        <v>Europe</v>
      </c>
      <c r="I245" t="s">
        <v>50</v>
      </c>
      <c r="J245" t="str">
        <f>IFERROR(_xlfn.XLOOKUP(Table1[[#This Row],[sales_channel]],Table4[Original],Table4[Clean],,0,1),"Unknown")</f>
        <v>Mobile</v>
      </c>
      <c r="K245" t="s">
        <v>33</v>
      </c>
      <c r="L245" t="str">
        <f>IFERROR(_xlfn.XLOOKUP(Table1[[#This Row],[product]],Table3[Original],Table3[Product_clean],,0,1),"Unknown")</f>
        <v>Tablet</v>
      </c>
      <c r="M245" s="6"/>
      <c r="N245" t="str">
        <f>IF(ISNUMBER(Table1[[#This Row],[quantity]]),Table1[[#This Row],[quantity]],IFERROR(VLOOKUP(Table1[[#This Row],[quantity]],Table5[#All],2,FALSE),"Unknown"))</f>
        <v>Unknown</v>
      </c>
      <c r="O245" t="s">
        <v>580</v>
      </c>
      <c r="P245">
        <f>IFERROR(VALUE(SUBSTITUTE(SUBSTITUTE(SUBSTITUTE(Table1[[#This Row],[revenue]],"EUR",""),"$",""),".",",")),"")</f>
        <v>87.36</v>
      </c>
      <c r="Q245" t="s">
        <v>55</v>
      </c>
      <c r="R245" t="str">
        <f>IF(OR(Table1[[#This Row],[currency]]="EUR",Table1[[#This Row],[currency]]="€"),"EUR",IF(OR(Table1[[#This Row],[currency]]="USD",Table1[[#This Row],[currency]]="$"),"USD","Unknown"))</f>
        <v>EUR</v>
      </c>
      <c r="S245" t="s">
        <v>23</v>
      </c>
      <c r="T245" t="str">
        <f>IFERROR(_xlfn.XLOOKUP(Table1[[#This Row],[order_status]],Table8[Original],Table8[Clean],,0,1),"Unknown")</f>
        <v>Delivered</v>
      </c>
      <c r="U245">
        <v>3</v>
      </c>
      <c r="V245">
        <f>IF(ISNUMBER(Table1[[#This Row],[delivery_days]]),Table1[[#This Row],[delivery_days]],IFERROR(_xlfn.XLOOKUP(Table1[[#This Row],[delivery_days]],Table57[Original],Table57[Clean],,0,1),"Unknown"))</f>
        <v>3</v>
      </c>
      <c r="W245" t="s">
        <v>37</v>
      </c>
    </row>
    <row r="246" spans="1:23" x14ac:dyDescent="0.3">
      <c r="B246" t="str">
        <f>IF(ISBLANK(Table1[[#This Row],[order_id]]),"",IF(LEFT(Table1[[#This Row],[order_id]],3)="ORD",Table1[[#This Row],[order_id]],"ORD-" &amp; Table1[[#This Row],[order_id]]))</f>
        <v/>
      </c>
      <c r="C246" t="s">
        <v>581</v>
      </c>
      <c r="D246" s="1">
        <f>IFERROR(DATEVALUE(Table1[[#This Row],[order_date]]),"")</f>
        <v>45675</v>
      </c>
      <c r="E246" t="s">
        <v>582</v>
      </c>
      <c r="F246" t="str">
        <f>IF(ISBLANK(Table1[[#This Row],[customer_name]]),"Unknown Customer",PROPER(SUBSTITUTE(Table1[[#This Row],[customer_name]],"Cust.","Customer")))</f>
        <v>Customer 244</v>
      </c>
      <c r="G246" t="s">
        <v>26</v>
      </c>
      <c r="H246" t="str">
        <f>IFERROR(_xlfn.XLOOKUP(Table1[[#This Row],[region]],Mappings!$C$3:$C$8,Mappings!$D$3:$D$8,,0,1),"Unknown")</f>
        <v>Asia</v>
      </c>
      <c r="I246" t="s">
        <v>78</v>
      </c>
      <c r="J246" t="str">
        <f>IFERROR(_xlfn.XLOOKUP(Table1[[#This Row],[sales_channel]],Table4[Original],Table4[Clean],,0,1),"Unknown")</f>
        <v>Mobile</v>
      </c>
      <c r="K246" t="s">
        <v>102</v>
      </c>
      <c r="L246" t="str">
        <f>IFERROR(_xlfn.XLOOKUP(Table1[[#This Row],[product]],Table3[Original],Table3[Product_clean],,0,1),"Unknown")</f>
        <v>Phone</v>
      </c>
      <c r="M246" s="6"/>
      <c r="N246" t="str">
        <f>IF(ISNUMBER(Table1[[#This Row],[quantity]]),Table1[[#This Row],[quantity]],IFERROR(VLOOKUP(Table1[[#This Row],[quantity]],Table5[#All],2,FALSE),"Unknown"))</f>
        <v>Unknown</v>
      </c>
      <c r="O246" t="s">
        <v>583</v>
      </c>
      <c r="P246">
        <f>IFERROR(VALUE(SUBSTITUTE(SUBSTITUTE(SUBSTITUTE(Table1[[#This Row],[revenue]],"EUR",""),"$",""),".",",")),"")</f>
        <v>2354.3200000000002</v>
      </c>
      <c r="Q246" t="s">
        <v>17</v>
      </c>
      <c r="R246" t="str">
        <f>IF(OR(Table1[[#This Row],[currency]]="EUR",Table1[[#This Row],[currency]]="€"),"EUR",IF(OR(Table1[[#This Row],[currency]]="USD",Table1[[#This Row],[currency]]="$"),"USD","Unknown"))</f>
        <v>EUR</v>
      </c>
      <c r="S246" t="s">
        <v>35</v>
      </c>
      <c r="T246" t="str">
        <f>IFERROR(_xlfn.XLOOKUP(Table1[[#This Row],[order_status]],Table8[Original],Table8[Clean],,0,1),"Unknown")</f>
        <v>Returned</v>
      </c>
      <c r="V246" t="str">
        <f>IF(ISNUMBER(Table1[[#This Row],[delivery_days]]),Table1[[#This Row],[delivery_days]],IFERROR(_xlfn.XLOOKUP(Table1[[#This Row],[delivery_days]],Table57[Original],Table57[Clean],,0,1),"Unknown"))</f>
        <v>Unknown</v>
      </c>
    </row>
    <row r="247" spans="1:23" x14ac:dyDescent="0.3">
      <c r="A247">
        <v>1245</v>
      </c>
      <c r="B247" t="str">
        <f>IF(ISBLANK(Table1[[#This Row],[order_id]]),"",IF(LEFT(Table1[[#This Row],[order_id]],3)="ORD",Table1[[#This Row],[order_id]],"ORD-" &amp; Table1[[#This Row],[order_id]]))</f>
        <v>ORD-1245</v>
      </c>
      <c r="D247" s="1" t="str">
        <f>IFERROR(DATEVALUE(Table1[[#This Row],[order_date]]),"")</f>
        <v/>
      </c>
      <c r="E247" t="s">
        <v>584</v>
      </c>
      <c r="F247" t="str">
        <f>IF(ISBLANK(Table1[[#This Row],[customer_name]]),"Unknown Customer",PROPER(SUBSTITUTE(Table1[[#This Row],[customer_name]],"Cust.","Customer")))</f>
        <v>Customer 245</v>
      </c>
      <c r="G247" t="s">
        <v>26</v>
      </c>
      <c r="H247" t="str">
        <f>IFERROR(_xlfn.XLOOKUP(Table1[[#This Row],[region]],Mappings!$C$3:$C$8,Mappings!$D$3:$D$8,,0,1),"Unknown")</f>
        <v>Asia</v>
      </c>
      <c r="I247" t="s">
        <v>27</v>
      </c>
      <c r="J247" t="str">
        <f>IFERROR(_xlfn.XLOOKUP(Table1[[#This Row],[sales_channel]],Table4[Original],Table4[Clean],,0,1),"Unknown")</f>
        <v>Online</v>
      </c>
      <c r="K247" t="s">
        <v>102</v>
      </c>
      <c r="L247" t="str">
        <f>IFERROR(_xlfn.XLOOKUP(Table1[[#This Row],[product]],Table3[Original],Table3[Product_clean],,0,1),"Unknown")</f>
        <v>Phone</v>
      </c>
      <c r="M247" s="6">
        <v>1</v>
      </c>
      <c r="N247">
        <f>IF(ISNUMBER(Table1[[#This Row],[quantity]]),Table1[[#This Row],[quantity]],IFERROR(VLOOKUP(Table1[[#This Row],[quantity]],Table5[#All],2,FALSE),"Unknown"))</f>
        <v>1</v>
      </c>
      <c r="O247" t="s">
        <v>585</v>
      </c>
      <c r="P247">
        <f>IFERROR(VALUE(SUBSTITUTE(SUBSTITUTE(SUBSTITUTE(Table1[[#This Row],[revenue]],"EUR",""),"$",""),".",",")),"")</f>
        <v>1392.83</v>
      </c>
      <c r="R247" t="str">
        <f>IF(OR(Table1[[#This Row],[currency]]="EUR",Table1[[#This Row],[currency]]="€"),"EUR",IF(OR(Table1[[#This Row],[currency]]="USD",Table1[[#This Row],[currency]]="$"),"USD","Unknown"))</f>
        <v>Unknown</v>
      </c>
      <c r="T247" t="str">
        <f>IFERROR(_xlfn.XLOOKUP(Table1[[#This Row],[order_status]],Table8[Original],Table8[Clean],,0,1),"Unknown")</f>
        <v>Unknown</v>
      </c>
      <c r="V247" t="str">
        <f>IF(ISNUMBER(Table1[[#This Row],[delivery_days]]),Table1[[#This Row],[delivery_days]],IFERROR(_xlfn.XLOOKUP(Table1[[#This Row],[delivery_days]],Table57[Original],Table57[Clean],,0,1),"Unknown"))</f>
        <v>Unknown</v>
      </c>
    </row>
    <row r="248" spans="1:23" x14ac:dyDescent="0.3">
      <c r="A248">
        <v>1246</v>
      </c>
      <c r="B248" t="str">
        <f>IF(ISBLANK(Table1[[#This Row],[order_id]]),"",IF(LEFT(Table1[[#This Row],[order_id]],3)="ORD",Table1[[#This Row],[order_id]],"ORD-" &amp; Table1[[#This Row],[order_id]]))</f>
        <v>ORD-1246</v>
      </c>
      <c r="C248" t="s">
        <v>586</v>
      </c>
      <c r="D248" s="1">
        <f>IFERROR(DATEVALUE(Table1[[#This Row],[order_date]]),"")</f>
        <v>45408</v>
      </c>
      <c r="E248" t="s">
        <v>587</v>
      </c>
      <c r="F248" t="str">
        <f>IF(ISBLANK(Table1[[#This Row],[customer_name]]),"Unknown Customer",PROPER(SUBSTITUTE(Table1[[#This Row],[customer_name]],"Cust.","Customer")))</f>
        <v>Customer 246</v>
      </c>
      <c r="G248" t="s">
        <v>73</v>
      </c>
      <c r="H248" t="str">
        <f>IFERROR(_xlfn.XLOOKUP(Table1[[#This Row],[region]],Mappings!$C$3:$C$8,Mappings!$D$3:$D$8,,0,1),"Unknown")</f>
        <v>Europe</v>
      </c>
      <c r="I248" t="s">
        <v>78</v>
      </c>
      <c r="J248" t="str">
        <f>IFERROR(_xlfn.XLOOKUP(Table1[[#This Row],[sales_channel]],Table4[Original],Table4[Clean],,0,1),"Unknown")</f>
        <v>Mobile</v>
      </c>
      <c r="K248" t="s">
        <v>102</v>
      </c>
      <c r="L248" t="str">
        <f>IFERROR(_xlfn.XLOOKUP(Table1[[#This Row],[product]],Table3[Original],Table3[Product_clean],,0,1),"Unknown")</f>
        <v>Phone</v>
      </c>
      <c r="M248" s="6" t="s">
        <v>83</v>
      </c>
      <c r="N248">
        <f>IF(ISNUMBER(Table1[[#This Row],[quantity]]),Table1[[#This Row],[quantity]],IFERROR(VLOOKUP(Table1[[#This Row],[quantity]],Table5[#All],2,FALSE),"Unknown"))</f>
        <v>2</v>
      </c>
      <c r="O248">
        <v>2235.3000000000002</v>
      </c>
      <c r="P248">
        <f>IFERROR(VALUE(SUBSTITUTE(SUBSTITUTE(SUBSTITUTE(Table1[[#This Row],[revenue]],"EUR",""),"$",""),".",",")),"")</f>
        <v>2235.3000000000002</v>
      </c>
      <c r="Q248" t="s">
        <v>58</v>
      </c>
      <c r="R248" t="str">
        <f>IF(OR(Table1[[#This Row],[currency]]="EUR",Table1[[#This Row],[currency]]="€"),"EUR",IF(OR(Table1[[#This Row],[currency]]="USD",Table1[[#This Row],[currency]]="$"),"USD","Unknown"))</f>
        <v>USD</v>
      </c>
      <c r="S248" t="s">
        <v>23</v>
      </c>
      <c r="T248" t="str">
        <f>IFERROR(_xlfn.XLOOKUP(Table1[[#This Row],[order_status]],Table8[Original],Table8[Clean],,0,1),"Unknown")</f>
        <v>Delivered</v>
      </c>
      <c r="U248">
        <v>1</v>
      </c>
      <c r="V248">
        <f>IF(ISNUMBER(Table1[[#This Row],[delivery_days]]),Table1[[#This Row],[delivery_days]],IFERROR(_xlfn.XLOOKUP(Table1[[#This Row],[delivery_days]],Table57[Original],Table57[Clean],,0,1),"Unknown"))</f>
        <v>1</v>
      </c>
    </row>
    <row r="249" spans="1:23" x14ac:dyDescent="0.3">
      <c r="B249" t="str">
        <f>IF(ISBLANK(Table1[[#This Row],[order_id]]),"",IF(LEFT(Table1[[#This Row],[order_id]],3)="ORD",Table1[[#This Row],[order_id]],"ORD-" &amp; Table1[[#This Row],[order_id]]))</f>
        <v/>
      </c>
      <c r="C249" t="s">
        <v>588</v>
      </c>
      <c r="D249" s="1" t="str">
        <f>IFERROR(DATEVALUE(Table1[[#This Row],[order_date]]),"")</f>
        <v/>
      </c>
      <c r="E249" t="s">
        <v>589</v>
      </c>
      <c r="F249" t="str">
        <f>IF(ISBLANK(Table1[[#This Row],[customer_name]]),"Unknown Customer",PROPER(SUBSTITUTE(Table1[[#This Row],[customer_name]],"Cust.","Customer")))</f>
        <v>Customer 247</v>
      </c>
      <c r="H249" t="str">
        <f>IFERROR(_xlfn.XLOOKUP(Table1[[#This Row],[region]],Mappings!$C$3:$C$8,Mappings!$D$3:$D$8,,0,1),"Unknown")</f>
        <v>Unknown</v>
      </c>
      <c r="I249" t="s">
        <v>14</v>
      </c>
      <c r="J249" t="str">
        <f>IFERROR(_xlfn.XLOOKUP(Table1[[#This Row],[sales_channel]],Table4[Original],Table4[Clean],,0,1),"Unknown")</f>
        <v>Online</v>
      </c>
      <c r="K249" t="s">
        <v>33</v>
      </c>
      <c r="L249" t="str">
        <f>IFERROR(_xlfn.XLOOKUP(Table1[[#This Row],[product]],Table3[Original],Table3[Product_clean],,0,1),"Unknown")</f>
        <v>Tablet</v>
      </c>
      <c r="M249" s="6">
        <v>3</v>
      </c>
      <c r="N249">
        <f>IF(ISNUMBER(Table1[[#This Row],[quantity]]),Table1[[#This Row],[quantity]],IFERROR(VLOOKUP(Table1[[#This Row],[quantity]],Table5[#All],2,FALSE),"Unknown"))</f>
        <v>3</v>
      </c>
      <c r="P249" t="str">
        <f>IFERROR(VALUE(SUBSTITUTE(SUBSTITUTE(SUBSTITUTE(Table1[[#This Row],[revenue]],"EUR",""),"$",""),".",",")),"")</f>
        <v/>
      </c>
      <c r="Q249" t="s">
        <v>17</v>
      </c>
      <c r="R249" t="str">
        <f>IF(OR(Table1[[#This Row],[currency]]="EUR",Table1[[#This Row],[currency]]="€"),"EUR",IF(OR(Table1[[#This Row],[currency]]="USD",Table1[[#This Row],[currency]]="$"),"USD","Unknown"))</f>
        <v>EUR</v>
      </c>
      <c r="S249" t="s">
        <v>18</v>
      </c>
      <c r="T249" t="str">
        <f>IFERROR(_xlfn.XLOOKUP(Table1[[#This Row],[order_status]],Table8[Original],Table8[Clean],,0,1),"Unknown")</f>
        <v>Pending</v>
      </c>
      <c r="V249" t="str">
        <f>IF(ISNUMBER(Table1[[#This Row],[delivery_days]]),Table1[[#This Row],[delivery_days]],IFERROR(_xlfn.XLOOKUP(Table1[[#This Row],[delivery_days]],Table57[Original],Table57[Clean],,0,1),"Unknown"))</f>
        <v>Unknown</v>
      </c>
    </row>
    <row r="250" spans="1:23" x14ac:dyDescent="0.3">
      <c r="A250" t="s">
        <v>590</v>
      </c>
      <c r="B250" t="str">
        <f>IF(ISBLANK(Table1[[#This Row],[order_id]]),"",IF(LEFT(Table1[[#This Row],[order_id]],3)="ORD",Table1[[#This Row],[order_id]],"ORD-" &amp; Table1[[#This Row],[order_id]]))</f>
        <v>ORD-1248</v>
      </c>
      <c r="C250" t="s">
        <v>591</v>
      </c>
      <c r="D250" s="1">
        <f>IFERROR(DATEVALUE(Table1[[#This Row],[order_date]]),"")</f>
        <v>45383</v>
      </c>
      <c r="F250" t="str">
        <f>IF(ISBLANK(Table1[[#This Row],[customer_name]]),"Unknown Customer",PROPER(SUBSTITUTE(Table1[[#This Row],[customer_name]],"Cust.","Customer")))</f>
        <v>Unknown Customer</v>
      </c>
      <c r="H250" t="str">
        <f>IFERROR(_xlfn.XLOOKUP(Table1[[#This Row],[region]],Mappings!$C$3:$C$8,Mappings!$D$3:$D$8,,0,1),"Unknown")</f>
        <v>Unknown</v>
      </c>
      <c r="I250" t="s">
        <v>50</v>
      </c>
      <c r="J250" t="str">
        <f>IFERROR(_xlfn.XLOOKUP(Table1[[#This Row],[sales_channel]],Table4[Original],Table4[Clean],,0,1),"Unknown")</f>
        <v>Mobile</v>
      </c>
      <c r="L250" t="str">
        <f>IFERROR(_xlfn.XLOOKUP(Table1[[#This Row],[product]],Table3[Original],Table3[Product_clean],,0,1),"Unknown")</f>
        <v>Unknown</v>
      </c>
      <c r="M250" s="6">
        <v>3</v>
      </c>
      <c r="N250">
        <f>IF(ISNUMBER(Table1[[#This Row],[quantity]]),Table1[[#This Row],[quantity]],IFERROR(VLOOKUP(Table1[[#This Row],[quantity]],Table5[#All],2,FALSE),"Unknown"))</f>
        <v>3</v>
      </c>
      <c r="O250">
        <v>708.4</v>
      </c>
      <c r="P250">
        <f>IFERROR(VALUE(SUBSTITUTE(SUBSTITUTE(SUBSTITUTE(Table1[[#This Row],[revenue]],"EUR",""),"$",""),".",",")),"")</f>
        <v>708.4</v>
      </c>
      <c r="Q250" t="s">
        <v>55</v>
      </c>
      <c r="R250" t="str">
        <f>IF(OR(Table1[[#This Row],[currency]]="EUR",Table1[[#This Row],[currency]]="€"),"EUR",IF(OR(Table1[[#This Row],[currency]]="USD",Table1[[#This Row],[currency]]="$"),"USD","Unknown"))</f>
        <v>EUR</v>
      </c>
      <c r="S250" t="s">
        <v>30</v>
      </c>
      <c r="T250" t="str">
        <f>IFERROR(_xlfn.XLOOKUP(Table1[[#This Row],[order_status]],Table8[Original],Table8[Clean],,0,1),"Unknown")</f>
        <v>Delivered</v>
      </c>
      <c r="U250" t="s">
        <v>36</v>
      </c>
      <c r="V250">
        <f>IF(ISNUMBER(Table1[[#This Row],[delivery_days]]),Table1[[#This Row],[delivery_days]],IFERROR(_xlfn.XLOOKUP(Table1[[#This Row],[delivery_days]],Table57[Original],Table57[Clean],,0,1),"Unknown"))</f>
        <v>5</v>
      </c>
    </row>
    <row r="251" spans="1:23" x14ac:dyDescent="0.3">
      <c r="B251" t="str">
        <f>IF(ISBLANK(Table1[[#This Row],[order_id]]),"",IF(LEFT(Table1[[#This Row],[order_id]],3)="ORD",Table1[[#This Row],[order_id]],"ORD-" &amp; Table1[[#This Row],[order_id]]))</f>
        <v/>
      </c>
      <c r="C251" t="s">
        <v>416</v>
      </c>
      <c r="D251" s="1">
        <f>IFERROR(DATEVALUE(Table1[[#This Row],[order_date]]),"")</f>
        <v>45413</v>
      </c>
      <c r="E251" t="s">
        <v>592</v>
      </c>
      <c r="F251" t="str">
        <f>IF(ISBLANK(Table1[[#This Row],[customer_name]]),"Unknown Customer",PROPER(SUBSTITUTE(Table1[[#This Row],[customer_name]],"Cust.","Customer")))</f>
        <v>Customer 249</v>
      </c>
      <c r="G251" t="s">
        <v>32</v>
      </c>
      <c r="H251" t="str">
        <f>IFERROR(_xlfn.XLOOKUP(Table1[[#This Row],[region]],Mappings!$C$3:$C$8,Mappings!$D$3:$D$8,,0,1),"Unknown")</f>
        <v>Europe</v>
      </c>
      <c r="I251" t="s">
        <v>50</v>
      </c>
      <c r="J251" t="str">
        <f>IFERROR(_xlfn.XLOOKUP(Table1[[#This Row],[sales_channel]],Table4[Original],Table4[Clean],,0,1),"Unknown")</f>
        <v>Mobile</v>
      </c>
      <c r="K251" t="s">
        <v>33</v>
      </c>
      <c r="L251" t="str">
        <f>IFERROR(_xlfn.XLOOKUP(Table1[[#This Row],[product]],Table3[Original],Table3[Product_clean],,0,1),"Unknown")</f>
        <v>Tablet</v>
      </c>
      <c r="M251" s="6" t="s">
        <v>83</v>
      </c>
      <c r="N251">
        <f>IF(ISNUMBER(Table1[[#This Row],[quantity]]),Table1[[#This Row],[quantity]],IFERROR(VLOOKUP(Table1[[#This Row],[quantity]],Table5[#All],2,FALSE),"Unknown"))</f>
        <v>2</v>
      </c>
      <c r="O251" t="s">
        <v>593</v>
      </c>
      <c r="P251">
        <f>IFERROR(VALUE(SUBSTITUTE(SUBSTITUTE(SUBSTITUTE(Table1[[#This Row],[revenue]],"EUR",""),"$",""),".",",")),"")</f>
        <v>1138.31</v>
      </c>
      <c r="Q251" t="s">
        <v>58</v>
      </c>
      <c r="R251" t="str">
        <f>IF(OR(Table1[[#This Row],[currency]]="EUR",Table1[[#This Row],[currency]]="€"),"EUR",IF(OR(Table1[[#This Row],[currency]]="USD",Table1[[#This Row],[currency]]="$"),"USD","Unknown"))</f>
        <v>USD</v>
      </c>
      <c r="T251" t="str">
        <f>IFERROR(_xlfn.XLOOKUP(Table1[[#This Row],[order_status]],Table8[Original],Table8[Clean],,0,1),"Unknown")</f>
        <v>Unknown</v>
      </c>
      <c r="U251" t="s">
        <v>36</v>
      </c>
      <c r="V251">
        <f>IF(ISNUMBER(Table1[[#This Row],[delivery_days]]),Table1[[#This Row],[delivery_days]],IFERROR(_xlfn.XLOOKUP(Table1[[#This Row],[delivery_days]],Table57[Original],Table57[Clean],,0,1),"Unknown"))</f>
        <v>5</v>
      </c>
      <c r="W251" t="s">
        <v>37</v>
      </c>
    </row>
    <row r="252" spans="1:23" x14ac:dyDescent="0.3">
      <c r="A252">
        <v>1250</v>
      </c>
      <c r="B252" t="str">
        <f>IF(ISBLANK(Table1[[#This Row],[order_id]]),"",IF(LEFT(Table1[[#This Row],[order_id]],3)="ORD",Table1[[#This Row],[order_id]],"ORD-" &amp; Table1[[#This Row],[order_id]]))</f>
        <v>ORD-1250</v>
      </c>
      <c r="C252" t="s">
        <v>166</v>
      </c>
      <c r="D252" s="1">
        <f>IFERROR(DATEVALUE(Table1[[#This Row],[order_date]]),"")</f>
        <v>45369</v>
      </c>
      <c r="E252" t="s">
        <v>594</v>
      </c>
      <c r="F252" t="str">
        <f>IF(ISBLANK(Table1[[#This Row],[customer_name]]),"Unknown Customer",PROPER(SUBSTITUTE(Table1[[#This Row],[customer_name]],"Cust.","Customer")))</f>
        <v>Customer 250</v>
      </c>
      <c r="H252" t="str">
        <f>IFERROR(_xlfn.XLOOKUP(Table1[[#This Row],[region]],Mappings!$C$3:$C$8,Mappings!$D$3:$D$8,,0,1),"Unknown")</f>
        <v>Unknown</v>
      </c>
      <c r="J252" t="str">
        <f>IFERROR(_xlfn.XLOOKUP(Table1[[#This Row],[sales_channel]],Table4[Original],Table4[Clean],,0,1),"Unknown")</f>
        <v>Unknown</v>
      </c>
      <c r="K252" t="s">
        <v>51</v>
      </c>
      <c r="L252" t="str">
        <f>IFERROR(_xlfn.XLOOKUP(Table1[[#This Row],[product]],Table3[Original],Table3[Product_clean],,0,1),"Unknown")</f>
        <v>Laptop</v>
      </c>
      <c r="M252" s="6">
        <v>3</v>
      </c>
      <c r="N252">
        <f>IF(ISNUMBER(Table1[[#This Row],[quantity]]),Table1[[#This Row],[quantity]],IFERROR(VLOOKUP(Table1[[#This Row],[quantity]],Table5[#All],2,FALSE),"Unknown"))</f>
        <v>3</v>
      </c>
      <c r="P252" t="str">
        <f>IFERROR(VALUE(SUBSTITUTE(SUBSTITUTE(SUBSTITUTE(Table1[[#This Row],[revenue]],"EUR",""),"$",""),".",",")),"")</f>
        <v/>
      </c>
      <c r="Q252" t="s">
        <v>17</v>
      </c>
      <c r="R252" t="str">
        <f>IF(OR(Table1[[#This Row],[currency]]="EUR",Table1[[#This Row],[currency]]="€"),"EUR",IF(OR(Table1[[#This Row],[currency]]="USD",Table1[[#This Row],[currency]]="$"),"USD","Unknown"))</f>
        <v>EUR</v>
      </c>
      <c r="T252" t="str">
        <f>IFERROR(_xlfn.XLOOKUP(Table1[[#This Row],[order_status]],Table8[Original],Table8[Clean],,0,1),"Unknown")</f>
        <v>Unknown</v>
      </c>
      <c r="U252">
        <v>5</v>
      </c>
      <c r="V252">
        <f>IF(ISNUMBER(Table1[[#This Row],[delivery_days]]),Table1[[#This Row],[delivery_days]],IFERROR(_xlfn.XLOOKUP(Table1[[#This Row],[delivery_days]],Table57[Original],Table57[Clean],,0,1),"Unknown"))</f>
        <v>5</v>
      </c>
      <c r="W252" t="s">
        <v>24</v>
      </c>
    </row>
    <row r="253" spans="1:23" x14ac:dyDescent="0.3">
      <c r="A253" t="s">
        <v>595</v>
      </c>
      <c r="B253" t="str">
        <f>IF(ISBLANK(Table1[[#This Row],[order_id]]),"",IF(LEFT(Table1[[#This Row],[order_id]],3)="ORD",Table1[[#This Row],[order_id]],"ORD-" &amp; Table1[[#This Row],[order_id]]))</f>
        <v>ORD-1251</v>
      </c>
      <c r="D253" s="1" t="str">
        <f>IFERROR(DATEVALUE(Table1[[#This Row],[order_date]]),"")</f>
        <v/>
      </c>
      <c r="E253" t="s">
        <v>596</v>
      </c>
      <c r="F253" t="str">
        <f>IF(ISBLANK(Table1[[#This Row],[customer_name]]),"Unknown Customer",PROPER(SUBSTITUTE(Table1[[#This Row],[customer_name]],"Cust.","Customer")))</f>
        <v>Customer 251</v>
      </c>
      <c r="G253" t="s">
        <v>54</v>
      </c>
      <c r="H253" t="str">
        <f>IFERROR(_xlfn.XLOOKUP(Table1[[#This Row],[region]],Mappings!$C$3:$C$8,Mappings!$D$3:$D$8,,0,1),"Unknown")</f>
        <v>USA</v>
      </c>
      <c r="J253" t="str">
        <f>IFERROR(_xlfn.XLOOKUP(Table1[[#This Row],[sales_channel]],Table4[Original],Table4[Clean],,0,1),"Unknown")</f>
        <v>Unknown</v>
      </c>
      <c r="K253" t="s">
        <v>102</v>
      </c>
      <c r="L253" t="str">
        <f>IFERROR(_xlfn.XLOOKUP(Table1[[#This Row],[product]],Table3[Original],Table3[Product_clean],,0,1),"Unknown")</f>
        <v>Phone</v>
      </c>
      <c r="M253" s="6">
        <v>1</v>
      </c>
      <c r="N253">
        <f>IF(ISNUMBER(Table1[[#This Row],[quantity]]),Table1[[#This Row],[quantity]],IFERROR(VLOOKUP(Table1[[#This Row],[quantity]],Table5[#All],2,FALSE),"Unknown"))</f>
        <v>1</v>
      </c>
      <c r="O253" t="s">
        <v>597</v>
      </c>
      <c r="P253">
        <f>IFERROR(VALUE(SUBSTITUTE(SUBSTITUTE(SUBSTITUTE(Table1[[#This Row],[revenue]],"EUR",""),"$",""),".",",")),"")</f>
        <v>655.32000000000005</v>
      </c>
      <c r="Q253" t="s">
        <v>17</v>
      </c>
      <c r="R253" t="str">
        <f>IF(OR(Table1[[#This Row],[currency]]="EUR",Table1[[#This Row],[currency]]="€"),"EUR",IF(OR(Table1[[#This Row],[currency]]="USD",Table1[[#This Row],[currency]]="$"),"USD","Unknown"))</f>
        <v>EUR</v>
      </c>
      <c r="S253" t="s">
        <v>23</v>
      </c>
      <c r="T253" t="str">
        <f>IFERROR(_xlfn.XLOOKUP(Table1[[#This Row],[order_status]],Table8[Original],Table8[Clean],,0,1),"Unknown")</f>
        <v>Delivered</v>
      </c>
      <c r="U253" t="s">
        <v>36</v>
      </c>
      <c r="V253">
        <f>IF(ISNUMBER(Table1[[#This Row],[delivery_days]]),Table1[[#This Row],[delivery_days]],IFERROR(_xlfn.XLOOKUP(Table1[[#This Row],[delivery_days]],Table57[Original],Table57[Clean],,0,1),"Unknown"))</f>
        <v>5</v>
      </c>
    </row>
    <row r="254" spans="1:23" x14ac:dyDescent="0.3">
      <c r="B254" t="str">
        <f>IF(ISBLANK(Table1[[#This Row],[order_id]]),"",IF(LEFT(Table1[[#This Row],[order_id]],3)="ORD",Table1[[#This Row],[order_id]],"ORD-" &amp; Table1[[#This Row],[order_id]]))</f>
        <v/>
      </c>
      <c r="C254" t="s">
        <v>598</v>
      </c>
      <c r="D254" s="1">
        <f>IFERROR(DATEVALUE(Table1[[#This Row],[order_date]]),"")</f>
        <v>45650</v>
      </c>
      <c r="E254" t="s">
        <v>599</v>
      </c>
      <c r="F254" t="str">
        <f>IF(ISBLANK(Table1[[#This Row],[customer_name]]),"Unknown Customer",PROPER(SUBSTITUTE(Table1[[#This Row],[customer_name]],"Cust.","Customer")))</f>
        <v>Customer 252</v>
      </c>
      <c r="G254" t="s">
        <v>45</v>
      </c>
      <c r="H254" t="str">
        <f>IFERROR(_xlfn.XLOOKUP(Table1[[#This Row],[region]],Mappings!$C$3:$C$8,Mappings!$D$3:$D$8,,0,1),"Unknown")</f>
        <v>USA</v>
      </c>
      <c r="I254" t="s">
        <v>27</v>
      </c>
      <c r="J254" t="str">
        <f>IFERROR(_xlfn.XLOOKUP(Table1[[#This Row],[sales_channel]],Table4[Original],Table4[Clean],,0,1),"Unknown")</f>
        <v>Online</v>
      </c>
      <c r="K254" t="s">
        <v>15</v>
      </c>
      <c r="L254" t="str">
        <f>IFERROR(_xlfn.XLOOKUP(Table1[[#This Row],[product]],Table3[Original],Table3[Product_clean],,0,1),"Unknown")</f>
        <v>Tablet</v>
      </c>
      <c r="M254" s="6" t="s">
        <v>83</v>
      </c>
      <c r="N254">
        <f>IF(ISNUMBER(Table1[[#This Row],[quantity]]),Table1[[#This Row],[quantity]],IFERROR(VLOOKUP(Table1[[#This Row],[quantity]],Table5[#All],2,FALSE),"Unknown"))</f>
        <v>2</v>
      </c>
      <c r="P254" t="str">
        <f>IFERROR(VALUE(SUBSTITUTE(SUBSTITUTE(SUBSTITUTE(Table1[[#This Row],[revenue]],"EUR",""),"$",""),".",",")),"")</f>
        <v/>
      </c>
      <c r="Q254" t="s">
        <v>17</v>
      </c>
      <c r="R254" t="str">
        <f>IF(OR(Table1[[#This Row],[currency]]="EUR",Table1[[#This Row],[currency]]="€"),"EUR",IF(OR(Table1[[#This Row],[currency]]="USD",Table1[[#This Row],[currency]]="$"),"USD","Unknown"))</f>
        <v>EUR</v>
      </c>
      <c r="S254" t="s">
        <v>18</v>
      </c>
      <c r="T254" t="str">
        <f>IFERROR(_xlfn.XLOOKUP(Table1[[#This Row],[order_status]],Table8[Original],Table8[Clean],,0,1),"Unknown")</f>
        <v>Pending</v>
      </c>
      <c r="U254" t="s">
        <v>36</v>
      </c>
      <c r="V254">
        <f>IF(ISNUMBER(Table1[[#This Row],[delivery_days]]),Table1[[#This Row],[delivery_days]],IFERROR(_xlfn.XLOOKUP(Table1[[#This Row],[delivery_days]],Table57[Original],Table57[Clean],,0,1),"Unknown"))</f>
        <v>5</v>
      </c>
    </row>
    <row r="255" spans="1:23" x14ac:dyDescent="0.3">
      <c r="A255">
        <v>1253</v>
      </c>
      <c r="B255" t="str">
        <f>IF(ISBLANK(Table1[[#This Row],[order_id]]),"",IF(LEFT(Table1[[#This Row],[order_id]],3)="ORD",Table1[[#This Row],[order_id]],"ORD-" &amp; Table1[[#This Row],[order_id]]))</f>
        <v>ORD-1253</v>
      </c>
      <c r="C255" t="s">
        <v>600</v>
      </c>
      <c r="D255" s="1">
        <f>IFERROR(DATEVALUE(Table1[[#This Row],[order_date]]),"")</f>
        <v>45573</v>
      </c>
      <c r="E255" t="s">
        <v>601</v>
      </c>
      <c r="F255" t="str">
        <f>IF(ISBLANK(Table1[[#This Row],[customer_name]]),"Unknown Customer",PROPER(SUBSTITUTE(Table1[[#This Row],[customer_name]],"Cust.","Customer")))</f>
        <v>Customer 253</v>
      </c>
      <c r="H255" t="str">
        <f>IFERROR(_xlfn.XLOOKUP(Table1[[#This Row],[region]],Mappings!$C$3:$C$8,Mappings!$D$3:$D$8,,0,1),"Unknown")</f>
        <v>Unknown</v>
      </c>
      <c r="I255" t="s">
        <v>50</v>
      </c>
      <c r="J255" t="str">
        <f>IFERROR(_xlfn.XLOOKUP(Table1[[#This Row],[sales_channel]],Table4[Original],Table4[Clean],,0,1),"Unknown")</f>
        <v>Mobile</v>
      </c>
      <c r="L255" t="str">
        <f>IFERROR(_xlfn.XLOOKUP(Table1[[#This Row],[product]],Table3[Original],Table3[Product_clean],,0,1),"Unknown")</f>
        <v>Unknown</v>
      </c>
      <c r="M255" s="6" t="s">
        <v>83</v>
      </c>
      <c r="N255">
        <f>IF(ISNUMBER(Table1[[#This Row],[quantity]]),Table1[[#This Row],[quantity]],IFERROR(VLOOKUP(Table1[[#This Row],[quantity]],Table5[#All],2,FALSE),"Unknown"))</f>
        <v>2</v>
      </c>
      <c r="O255" t="s">
        <v>602</v>
      </c>
      <c r="P255">
        <f>IFERROR(VALUE(SUBSTITUTE(SUBSTITUTE(SUBSTITUTE(Table1[[#This Row],[revenue]],"EUR",""),"$",""),".",",")),"")</f>
        <v>2004.21</v>
      </c>
      <c r="Q255" t="s">
        <v>55</v>
      </c>
      <c r="R255" t="str">
        <f>IF(OR(Table1[[#This Row],[currency]]="EUR",Table1[[#This Row],[currency]]="€"),"EUR",IF(OR(Table1[[#This Row],[currency]]="USD",Table1[[#This Row],[currency]]="$"),"USD","Unknown"))</f>
        <v>EUR</v>
      </c>
      <c r="S255" t="s">
        <v>35</v>
      </c>
      <c r="T255" t="str">
        <f>IFERROR(_xlfn.XLOOKUP(Table1[[#This Row],[order_status]],Table8[Original],Table8[Clean],,0,1),"Unknown")</f>
        <v>Returned</v>
      </c>
      <c r="U255">
        <v>5</v>
      </c>
      <c r="V255">
        <f>IF(ISNUMBER(Table1[[#This Row],[delivery_days]]),Table1[[#This Row],[delivery_days]],IFERROR(_xlfn.XLOOKUP(Table1[[#This Row],[delivery_days]],Table57[Original],Table57[Clean],,0,1),"Unknown"))</f>
        <v>5</v>
      </c>
      <c r="W255" t="s">
        <v>24</v>
      </c>
    </row>
    <row r="256" spans="1:23" x14ac:dyDescent="0.3">
      <c r="A256">
        <v>1254</v>
      </c>
      <c r="B256" t="str">
        <f>IF(ISBLANK(Table1[[#This Row],[order_id]]),"",IF(LEFT(Table1[[#This Row],[order_id]],3)="ORD",Table1[[#This Row],[order_id]],"ORD-" &amp; Table1[[#This Row],[order_id]]))</f>
        <v>ORD-1254</v>
      </c>
      <c r="C256" t="s">
        <v>603</v>
      </c>
      <c r="D256" s="1">
        <f>IFERROR(DATEVALUE(Table1[[#This Row],[order_date]]),"")</f>
        <v>45411</v>
      </c>
      <c r="E256" t="s">
        <v>604</v>
      </c>
      <c r="F256" t="str">
        <f>IF(ISBLANK(Table1[[#This Row],[customer_name]]),"Unknown Customer",PROPER(SUBSTITUTE(Table1[[#This Row],[customer_name]],"Cust.","Customer")))</f>
        <v>Customer 254</v>
      </c>
      <c r="G256" t="s">
        <v>73</v>
      </c>
      <c r="H256" t="str">
        <f>IFERROR(_xlfn.XLOOKUP(Table1[[#This Row],[region]],Mappings!$C$3:$C$8,Mappings!$D$3:$D$8,,0,1),"Unknown")</f>
        <v>Europe</v>
      </c>
      <c r="I256" t="s">
        <v>27</v>
      </c>
      <c r="J256" t="str">
        <f>IFERROR(_xlfn.XLOOKUP(Table1[[#This Row],[sales_channel]],Table4[Original],Table4[Clean],,0,1),"Unknown")</f>
        <v>Online</v>
      </c>
      <c r="K256" t="s">
        <v>41</v>
      </c>
      <c r="L256" t="str">
        <f>IFERROR(_xlfn.XLOOKUP(Table1[[#This Row],[product]],Table3[Original],Table3[Product_clean],,0,1),"Unknown")</f>
        <v>Phone</v>
      </c>
      <c r="M256" s="6" t="s">
        <v>83</v>
      </c>
      <c r="N256">
        <f>IF(ISNUMBER(Table1[[#This Row],[quantity]]),Table1[[#This Row],[quantity]],IFERROR(VLOOKUP(Table1[[#This Row],[quantity]],Table5[#All],2,FALSE),"Unknown"))</f>
        <v>2</v>
      </c>
      <c r="O256" t="s">
        <v>605</v>
      </c>
      <c r="P256">
        <f>IFERROR(VALUE(SUBSTITUTE(SUBSTITUTE(SUBSTITUTE(Table1[[#This Row],[revenue]],"EUR",""),"$",""),".",",")),"")</f>
        <v>270.33</v>
      </c>
      <c r="Q256" t="s">
        <v>55</v>
      </c>
      <c r="R256" t="str">
        <f>IF(OR(Table1[[#This Row],[currency]]="EUR",Table1[[#This Row],[currency]]="€"),"EUR",IF(OR(Table1[[#This Row],[currency]]="USD",Table1[[#This Row],[currency]]="$"),"USD","Unknown"))</f>
        <v>EUR</v>
      </c>
      <c r="S256" t="s">
        <v>47</v>
      </c>
      <c r="T256" t="str">
        <f>IFERROR(_xlfn.XLOOKUP(Table1[[#This Row],[order_status]],Table8[Original],Table8[Clean],,0,1),"Unknown")</f>
        <v>Returned</v>
      </c>
      <c r="U256">
        <v>1</v>
      </c>
      <c r="V256">
        <f>IF(ISNUMBER(Table1[[#This Row],[delivery_days]]),Table1[[#This Row],[delivery_days]],IFERROR(_xlfn.XLOOKUP(Table1[[#This Row],[delivery_days]],Table57[Original],Table57[Clean],,0,1),"Unknown"))</f>
        <v>1</v>
      </c>
      <c r="W256" t="s">
        <v>24</v>
      </c>
    </row>
    <row r="257" spans="1:23" x14ac:dyDescent="0.3">
      <c r="A257" t="s">
        <v>606</v>
      </c>
      <c r="B257" t="str">
        <f>IF(ISBLANK(Table1[[#This Row],[order_id]]),"",IF(LEFT(Table1[[#This Row],[order_id]],3)="ORD",Table1[[#This Row],[order_id]],"ORD-" &amp; Table1[[#This Row],[order_id]]))</f>
        <v>ORD-1255</v>
      </c>
      <c r="C257" t="s">
        <v>607</v>
      </c>
      <c r="D257" s="1" t="str">
        <f>IFERROR(DATEVALUE(Table1[[#This Row],[order_date]]),"")</f>
        <v/>
      </c>
      <c r="E257" t="s">
        <v>608</v>
      </c>
      <c r="F257" t="str">
        <f>IF(ISBLANK(Table1[[#This Row],[customer_name]]),"Unknown Customer",PROPER(SUBSTITUTE(Table1[[#This Row],[customer_name]],"Cust.","Customer")))</f>
        <v>Customer 255</v>
      </c>
      <c r="G257" t="s">
        <v>73</v>
      </c>
      <c r="H257" t="str">
        <f>IFERROR(_xlfn.XLOOKUP(Table1[[#This Row],[region]],Mappings!$C$3:$C$8,Mappings!$D$3:$D$8,,0,1),"Unknown")</f>
        <v>Europe</v>
      </c>
      <c r="I257" t="s">
        <v>27</v>
      </c>
      <c r="J257" t="str">
        <f>IFERROR(_xlfn.XLOOKUP(Table1[[#This Row],[sales_channel]],Table4[Original],Table4[Clean],,0,1),"Unknown")</f>
        <v>Online</v>
      </c>
      <c r="L257" t="str">
        <f>IFERROR(_xlfn.XLOOKUP(Table1[[#This Row],[product]],Table3[Original],Table3[Product_clean],,0,1),"Unknown")</f>
        <v>Unknown</v>
      </c>
      <c r="M257" s="6">
        <v>3</v>
      </c>
      <c r="N257">
        <f>IF(ISNUMBER(Table1[[#This Row],[quantity]]),Table1[[#This Row],[quantity]],IFERROR(VLOOKUP(Table1[[#This Row],[quantity]],Table5[#All],2,FALSE),"Unknown"))</f>
        <v>3</v>
      </c>
      <c r="O257" t="s">
        <v>609</v>
      </c>
      <c r="P257">
        <f>IFERROR(VALUE(SUBSTITUTE(SUBSTITUTE(SUBSTITUTE(Table1[[#This Row],[revenue]],"EUR",""),"$",""),".",",")),"")</f>
        <v>662.53</v>
      </c>
      <c r="R257" t="str">
        <f>IF(OR(Table1[[#This Row],[currency]]="EUR",Table1[[#This Row],[currency]]="€"),"EUR",IF(OR(Table1[[#This Row],[currency]]="USD",Table1[[#This Row],[currency]]="$"),"USD","Unknown"))</f>
        <v>Unknown</v>
      </c>
      <c r="S257" t="s">
        <v>30</v>
      </c>
      <c r="T257" t="str">
        <f>IFERROR(_xlfn.XLOOKUP(Table1[[#This Row],[order_status]],Table8[Original],Table8[Clean],,0,1),"Unknown")</f>
        <v>Delivered</v>
      </c>
      <c r="U257">
        <v>2</v>
      </c>
      <c r="V257">
        <f>IF(ISNUMBER(Table1[[#This Row],[delivery_days]]),Table1[[#This Row],[delivery_days]],IFERROR(_xlfn.XLOOKUP(Table1[[#This Row],[delivery_days]],Table57[Original],Table57[Clean],,0,1),"Unknown"))</f>
        <v>2</v>
      </c>
      <c r="W257" t="s">
        <v>24</v>
      </c>
    </row>
    <row r="258" spans="1:23" x14ac:dyDescent="0.3">
      <c r="A258" t="s">
        <v>610</v>
      </c>
      <c r="B258" t="str">
        <f>IF(ISBLANK(Table1[[#This Row],[order_id]]),"",IF(LEFT(Table1[[#This Row],[order_id]],3)="ORD",Table1[[#This Row],[order_id]],"ORD-" &amp; Table1[[#This Row],[order_id]]))</f>
        <v>ORD-1256</v>
      </c>
      <c r="D258" s="1" t="str">
        <f>IFERROR(DATEVALUE(Table1[[#This Row],[order_date]]),"")</f>
        <v/>
      </c>
      <c r="E258" t="s">
        <v>611</v>
      </c>
      <c r="F258" t="str">
        <f>IF(ISBLANK(Table1[[#This Row],[customer_name]]),"Unknown Customer",PROPER(SUBSTITUTE(Table1[[#This Row],[customer_name]],"Cust.","Customer")))</f>
        <v>Customer 256</v>
      </c>
      <c r="H258" t="str">
        <f>IFERROR(_xlfn.XLOOKUP(Table1[[#This Row],[region]],Mappings!$C$3:$C$8,Mappings!$D$3:$D$8,,0,1),"Unknown")</f>
        <v>Unknown</v>
      </c>
      <c r="I258" t="s">
        <v>50</v>
      </c>
      <c r="J258" t="str">
        <f>IFERROR(_xlfn.XLOOKUP(Table1[[#This Row],[sales_channel]],Table4[Original],Table4[Clean],,0,1),"Unknown")</f>
        <v>Mobile</v>
      </c>
      <c r="K258" t="s">
        <v>102</v>
      </c>
      <c r="L258" t="str">
        <f>IFERROR(_xlfn.XLOOKUP(Table1[[#This Row],[product]],Table3[Original],Table3[Product_clean],,0,1),"Unknown")</f>
        <v>Phone</v>
      </c>
      <c r="M258" s="6">
        <v>2</v>
      </c>
      <c r="N258">
        <f>IF(ISNUMBER(Table1[[#This Row],[quantity]]),Table1[[#This Row],[quantity]],IFERROR(VLOOKUP(Table1[[#This Row],[quantity]],Table5[#All],2,FALSE),"Unknown"))</f>
        <v>2</v>
      </c>
      <c r="O258" t="s">
        <v>612</v>
      </c>
      <c r="P258">
        <f>IFERROR(VALUE(SUBSTITUTE(SUBSTITUTE(SUBSTITUTE(Table1[[#This Row],[revenue]],"EUR",""),"$",""),".",",")),"")</f>
        <v>319.08</v>
      </c>
      <c r="Q258" t="s">
        <v>17</v>
      </c>
      <c r="R258" t="str">
        <f>IF(OR(Table1[[#This Row],[currency]]="EUR",Table1[[#This Row],[currency]]="€"),"EUR",IF(OR(Table1[[#This Row],[currency]]="USD",Table1[[#This Row],[currency]]="$"),"USD","Unknown"))</f>
        <v>EUR</v>
      </c>
      <c r="S258" t="s">
        <v>47</v>
      </c>
      <c r="T258" t="str">
        <f>IFERROR(_xlfn.XLOOKUP(Table1[[#This Row],[order_status]],Table8[Original],Table8[Clean],,0,1),"Unknown")</f>
        <v>Returned</v>
      </c>
      <c r="U258">
        <v>5</v>
      </c>
      <c r="V258">
        <f>IF(ISNUMBER(Table1[[#This Row],[delivery_days]]),Table1[[#This Row],[delivery_days]],IFERROR(_xlfn.XLOOKUP(Table1[[#This Row],[delivery_days]],Table57[Original],Table57[Clean],,0,1),"Unknown"))</f>
        <v>5</v>
      </c>
      <c r="W258" t="s">
        <v>37</v>
      </c>
    </row>
    <row r="259" spans="1:23" x14ac:dyDescent="0.3">
      <c r="A259">
        <v>1257</v>
      </c>
      <c r="B259" t="str">
        <f>IF(ISBLANK(Table1[[#This Row],[order_id]]),"",IF(LEFT(Table1[[#This Row],[order_id]],3)="ORD",Table1[[#This Row],[order_id]],"ORD-" &amp; Table1[[#This Row],[order_id]]))</f>
        <v>ORD-1257</v>
      </c>
      <c r="C259" t="s">
        <v>613</v>
      </c>
      <c r="D259" s="1">
        <f>IFERROR(DATEVALUE(Table1[[#This Row],[order_date]]),"")</f>
        <v>45340</v>
      </c>
      <c r="E259" t="s">
        <v>614</v>
      </c>
      <c r="F259" t="str">
        <f>IF(ISBLANK(Table1[[#This Row],[customer_name]]),"Unknown Customer",PROPER(SUBSTITUTE(Table1[[#This Row],[customer_name]],"Cust.","Customer")))</f>
        <v>Customer 257</v>
      </c>
      <c r="H259" t="str">
        <f>IFERROR(_xlfn.XLOOKUP(Table1[[#This Row],[region]],Mappings!$C$3:$C$8,Mappings!$D$3:$D$8,,0,1),"Unknown")</f>
        <v>Unknown</v>
      </c>
      <c r="I259" t="s">
        <v>27</v>
      </c>
      <c r="J259" t="str">
        <f>IFERROR(_xlfn.XLOOKUP(Table1[[#This Row],[sales_channel]],Table4[Original],Table4[Clean],,0,1),"Unknown")</f>
        <v>Online</v>
      </c>
      <c r="K259" t="s">
        <v>28</v>
      </c>
      <c r="L259" t="str">
        <f>IFERROR(_xlfn.XLOOKUP(Table1[[#This Row],[product]],Table3[Original],Table3[Product_clean],,0,1),"Unknown")</f>
        <v>Laptop</v>
      </c>
      <c r="M259" s="6">
        <v>2</v>
      </c>
      <c r="N259">
        <f>IF(ISNUMBER(Table1[[#This Row],[quantity]]),Table1[[#This Row],[quantity]],IFERROR(VLOOKUP(Table1[[#This Row],[quantity]],Table5[#All],2,FALSE),"Unknown"))</f>
        <v>2</v>
      </c>
      <c r="O259" t="s">
        <v>615</v>
      </c>
      <c r="P259">
        <f>IFERROR(VALUE(SUBSTITUTE(SUBSTITUTE(SUBSTITUTE(Table1[[#This Row],[revenue]],"EUR",""),"$",""),".",",")),"")</f>
        <v>1413.03</v>
      </c>
      <c r="Q259" t="s">
        <v>22</v>
      </c>
      <c r="R259" t="str">
        <f>IF(OR(Table1[[#This Row],[currency]]="EUR",Table1[[#This Row],[currency]]="€"),"EUR",IF(OR(Table1[[#This Row],[currency]]="USD",Table1[[#This Row],[currency]]="$"),"USD","Unknown"))</f>
        <v>USD</v>
      </c>
      <c r="S259" t="s">
        <v>35</v>
      </c>
      <c r="T259" t="str">
        <f>IFERROR(_xlfn.XLOOKUP(Table1[[#This Row],[order_status]],Table8[Original],Table8[Clean],,0,1),"Unknown")</f>
        <v>Returned</v>
      </c>
      <c r="V259" t="str">
        <f>IF(ISNUMBER(Table1[[#This Row],[delivery_days]]),Table1[[#This Row],[delivery_days]],IFERROR(_xlfn.XLOOKUP(Table1[[#This Row],[delivery_days]],Table57[Original],Table57[Clean],,0,1),"Unknown"))</f>
        <v>Unknown</v>
      </c>
    </row>
    <row r="260" spans="1:23" x14ac:dyDescent="0.3">
      <c r="A260">
        <v>1258</v>
      </c>
      <c r="B260" t="str">
        <f>IF(ISBLANK(Table1[[#This Row],[order_id]]),"",IF(LEFT(Table1[[#This Row],[order_id]],3)="ORD",Table1[[#This Row],[order_id]],"ORD-" &amp; Table1[[#This Row],[order_id]]))</f>
        <v>ORD-1258</v>
      </c>
      <c r="C260" t="s">
        <v>100</v>
      </c>
      <c r="D260" s="1">
        <f>IFERROR(DATEVALUE(Table1[[#This Row],[order_date]]),"")</f>
        <v>45590</v>
      </c>
      <c r="E260" t="s">
        <v>616</v>
      </c>
      <c r="F260" t="str">
        <f>IF(ISBLANK(Table1[[#This Row],[customer_name]]),"Unknown Customer",PROPER(SUBSTITUTE(Table1[[#This Row],[customer_name]],"Cust.","Customer")))</f>
        <v>Customer 258</v>
      </c>
      <c r="H260" t="str">
        <f>IFERROR(_xlfn.XLOOKUP(Table1[[#This Row],[region]],Mappings!$C$3:$C$8,Mappings!$D$3:$D$8,,0,1),"Unknown")</f>
        <v>Unknown</v>
      </c>
      <c r="I260" t="s">
        <v>78</v>
      </c>
      <c r="J260" t="str">
        <f>IFERROR(_xlfn.XLOOKUP(Table1[[#This Row],[sales_channel]],Table4[Original],Table4[Clean],,0,1),"Unknown")</f>
        <v>Mobile</v>
      </c>
      <c r="L260" t="str">
        <f>IFERROR(_xlfn.XLOOKUP(Table1[[#This Row],[product]],Table3[Original],Table3[Product_clean],,0,1),"Unknown")</f>
        <v>Unknown</v>
      </c>
      <c r="M260" s="6">
        <v>2</v>
      </c>
      <c r="N260">
        <f>IF(ISNUMBER(Table1[[#This Row],[quantity]]),Table1[[#This Row],[quantity]],IFERROR(VLOOKUP(Table1[[#This Row],[quantity]],Table5[#All],2,FALSE),"Unknown"))</f>
        <v>2</v>
      </c>
      <c r="O260">
        <v>1779.05</v>
      </c>
      <c r="P260">
        <f>IFERROR(VALUE(SUBSTITUTE(SUBSTITUTE(SUBSTITUTE(Table1[[#This Row],[revenue]],"EUR",""),"$",""),".",",")),"")</f>
        <v>1779.05</v>
      </c>
      <c r="Q260" t="s">
        <v>17</v>
      </c>
      <c r="R260" t="str">
        <f>IF(OR(Table1[[#This Row],[currency]]="EUR",Table1[[#This Row],[currency]]="€"),"EUR",IF(OR(Table1[[#This Row],[currency]]="USD",Table1[[#This Row],[currency]]="$"),"USD","Unknown"))</f>
        <v>EUR</v>
      </c>
      <c r="S260" t="s">
        <v>35</v>
      </c>
      <c r="T260" t="str">
        <f>IFERROR(_xlfn.XLOOKUP(Table1[[#This Row],[order_status]],Table8[Original],Table8[Clean],,0,1),"Unknown")</f>
        <v>Returned</v>
      </c>
      <c r="U260">
        <v>1</v>
      </c>
      <c r="V260">
        <f>IF(ISNUMBER(Table1[[#This Row],[delivery_days]]),Table1[[#This Row],[delivery_days]],IFERROR(_xlfn.XLOOKUP(Table1[[#This Row],[delivery_days]],Table57[Original],Table57[Clean],,0,1),"Unknown"))</f>
        <v>1</v>
      </c>
    </row>
    <row r="261" spans="1:23" x14ac:dyDescent="0.3">
      <c r="B261" t="str">
        <f>IF(ISBLANK(Table1[[#This Row],[order_id]]),"",IF(LEFT(Table1[[#This Row],[order_id]],3)="ORD",Table1[[#This Row],[order_id]],"ORD-" &amp; Table1[[#This Row],[order_id]]))</f>
        <v/>
      </c>
      <c r="D261" s="1" t="str">
        <f>IFERROR(DATEVALUE(Table1[[#This Row],[order_date]]),"")</f>
        <v/>
      </c>
      <c r="F261" t="str">
        <f>IF(ISBLANK(Table1[[#This Row],[customer_name]]),"Unknown Customer",PROPER(SUBSTITUTE(Table1[[#This Row],[customer_name]],"Cust.","Customer")))</f>
        <v>Unknown Customer</v>
      </c>
      <c r="G261" t="s">
        <v>73</v>
      </c>
      <c r="H261" t="str">
        <f>IFERROR(_xlfn.XLOOKUP(Table1[[#This Row],[region]],Mappings!$C$3:$C$8,Mappings!$D$3:$D$8,,0,1),"Unknown")</f>
        <v>Europe</v>
      </c>
      <c r="I261" t="s">
        <v>78</v>
      </c>
      <c r="J261" t="str">
        <f>IFERROR(_xlfn.XLOOKUP(Table1[[#This Row],[sales_channel]],Table4[Original],Table4[Clean],,0,1),"Unknown")</f>
        <v>Mobile</v>
      </c>
      <c r="K261" t="s">
        <v>15</v>
      </c>
      <c r="L261" t="str">
        <f>IFERROR(_xlfn.XLOOKUP(Table1[[#This Row],[product]],Table3[Original],Table3[Product_clean],,0,1),"Unknown")</f>
        <v>Tablet</v>
      </c>
      <c r="M261" s="6" t="s">
        <v>83</v>
      </c>
      <c r="N261">
        <f>IF(ISNUMBER(Table1[[#This Row],[quantity]]),Table1[[#This Row],[quantity]],IFERROR(VLOOKUP(Table1[[#This Row],[quantity]],Table5[#All],2,FALSE),"Unknown"))</f>
        <v>2</v>
      </c>
      <c r="P261" t="str">
        <f>IFERROR(VALUE(SUBSTITUTE(SUBSTITUTE(SUBSTITUTE(Table1[[#This Row],[revenue]],"EUR",""),"$",""),".",",")),"")</f>
        <v/>
      </c>
      <c r="Q261" t="s">
        <v>58</v>
      </c>
      <c r="R261" t="str">
        <f>IF(OR(Table1[[#This Row],[currency]]="EUR",Table1[[#This Row],[currency]]="€"),"EUR",IF(OR(Table1[[#This Row],[currency]]="USD",Table1[[#This Row],[currency]]="$"),"USD","Unknown"))</f>
        <v>USD</v>
      </c>
      <c r="S261" t="s">
        <v>35</v>
      </c>
      <c r="T261" t="str">
        <f>IFERROR(_xlfn.XLOOKUP(Table1[[#This Row],[order_status]],Table8[Original],Table8[Clean],,0,1),"Unknown")</f>
        <v>Returned</v>
      </c>
      <c r="U261">
        <v>2</v>
      </c>
      <c r="V261">
        <f>IF(ISNUMBER(Table1[[#This Row],[delivery_days]]),Table1[[#This Row],[delivery_days]],IFERROR(_xlfn.XLOOKUP(Table1[[#This Row],[delivery_days]],Table57[Original],Table57[Clean],,0,1),"Unknown"))</f>
        <v>2</v>
      </c>
      <c r="W261" t="s">
        <v>37</v>
      </c>
    </row>
    <row r="262" spans="1:23" x14ac:dyDescent="0.3">
      <c r="A262">
        <v>1260</v>
      </c>
      <c r="B262" t="str">
        <f>IF(ISBLANK(Table1[[#This Row],[order_id]]),"",IF(LEFT(Table1[[#This Row],[order_id]],3)="ORD",Table1[[#This Row],[order_id]],"ORD-" &amp; Table1[[#This Row],[order_id]]))</f>
        <v>ORD-1260</v>
      </c>
      <c r="C262" t="s">
        <v>617</v>
      </c>
      <c r="D262" s="1">
        <f>IFERROR(DATEVALUE(Table1[[#This Row],[order_date]]),"")</f>
        <v>45432</v>
      </c>
      <c r="E262" t="s">
        <v>618</v>
      </c>
      <c r="F262" t="str">
        <f>IF(ISBLANK(Table1[[#This Row],[customer_name]]),"Unknown Customer",PROPER(SUBSTITUTE(Table1[[#This Row],[customer_name]],"Cust.","Customer")))</f>
        <v>Customer 260</v>
      </c>
      <c r="G262" t="s">
        <v>32</v>
      </c>
      <c r="H262" t="str">
        <f>IFERROR(_xlfn.XLOOKUP(Table1[[#This Row],[region]],Mappings!$C$3:$C$8,Mappings!$D$3:$D$8,,0,1),"Unknown")</f>
        <v>Europe</v>
      </c>
      <c r="I262" t="s">
        <v>78</v>
      </c>
      <c r="J262" t="str">
        <f>IFERROR(_xlfn.XLOOKUP(Table1[[#This Row],[sales_channel]],Table4[Original],Table4[Clean],,0,1),"Unknown")</f>
        <v>Mobile</v>
      </c>
      <c r="K262" t="s">
        <v>33</v>
      </c>
      <c r="L262" t="str">
        <f>IFERROR(_xlfn.XLOOKUP(Table1[[#This Row],[product]],Table3[Original],Table3[Product_clean],,0,1),"Unknown")</f>
        <v>Tablet</v>
      </c>
      <c r="M262" s="6" t="s">
        <v>83</v>
      </c>
      <c r="N262">
        <f>IF(ISNUMBER(Table1[[#This Row],[quantity]]),Table1[[#This Row],[quantity]],IFERROR(VLOOKUP(Table1[[#This Row],[quantity]],Table5[#All],2,FALSE),"Unknown"))</f>
        <v>2</v>
      </c>
      <c r="O262" t="s">
        <v>619</v>
      </c>
      <c r="P262">
        <f>IFERROR(VALUE(SUBSTITUTE(SUBSTITUTE(SUBSTITUTE(Table1[[#This Row],[revenue]],"EUR",""),"$",""),".",",")),"")</f>
        <v>875.57</v>
      </c>
      <c r="Q262" t="s">
        <v>17</v>
      </c>
      <c r="R262" t="str">
        <f>IF(OR(Table1[[#This Row],[currency]]="EUR",Table1[[#This Row],[currency]]="€"),"EUR",IF(OR(Table1[[#This Row],[currency]]="USD",Table1[[#This Row],[currency]]="$"),"USD","Unknown"))</f>
        <v>EUR</v>
      </c>
      <c r="S262" t="s">
        <v>30</v>
      </c>
      <c r="T262" t="str">
        <f>IFERROR(_xlfn.XLOOKUP(Table1[[#This Row],[order_status]],Table8[Original],Table8[Clean],,0,1),"Unknown")</f>
        <v>Delivered</v>
      </c>
      <c r="U262">
        <v>3</v>
      </c>
      <c r="V262">
        <f>IF(ISNUMBER(Table1[[#This Row],[delivery_days]]),Table1[[#This Row],[delivery_days]],IFERROR(_xlfn.XLOOKUP(Table1[[#This Row],[delivery_days]],Table57[Original],Table57[Clean],,0,1),"Unknown"))</f>
        <v>3</v>
      </c>
    </row>
    <row r="263" spans="1:23" x14ac:dyDescent="0.3">
      <c r="B263" t="str">
        <f>IF(ISBLANK(Table1[[#This Row],[order_id]]),"",IF(LEFT(Table1[[#This Row],[order_id]],3)="ORD",Table1[[#This Row],[order_id]],"ORD-" &amp; Table1[[#This Row],[order_id]]))</f>
        <v/>
      </c>
      <c r="C263" t="s">
        <v>620</v>
      </c>
      <c r="D263" s="1">
        <f>IFERROR(DATEVALUE(Table1[[#This Row],[order_date]]),"")</f>
        <v>45362</v>
      </c>
      <c r="F263" t="str">
        <f>IF(ISBLANK(Table1[[#This Row],[customer_name]]),"Unknown Customer",PROPER(SUBSTITUTE(Table1[[#This Row],[customer_name]],"Cust.","Customer")))</f>
        <v>Unknown Customer</v>
      </c>
      <c r="H263" t="str">
        <f>IFERROR(_xlfn.XLOOKUP(Table1[[#This Row],[region]],Mappings!$C$3:$C$8,Mappings!$D$3:$D$8,,0,1),"Unknown")</f>
        <v>Unknown</v>
      </c>
      <c r="J263" t="str">
        <f>IFERROR(_xlfn.XLOOKUP(Table1[[#This Row],[sales_channel]],Table4[Original],Table4[Clean],,0,1),"Unknown")</f>
        <v>Unknown</v>
      </c>
      <c r="K263" t="s">
        <v>102</v>
      </c>
      <c r="L263" t="str">
        <f>IFERROR(_xlfn.XLOOKUP(Table1[[#This Row],[product]],Table3[Original],Table3[Product_clean],,0,1),"Unknown")</f>
        <v>Phone</v>
      </c>
      <c r="M263" s="6" t="s">
        <v>83</v>
      </c>
      <c r="N263">
        <f>IF(ISNUMBER(Table1[[#This Row],[quantity]]),Table1[[#This Row],[quantity]],IFERROR(VLOOKUP(Table1[[#This Row],[quantity]],Table5[#All],2,FALSE),"Unknown"))</f>
        <v>2</v>
      </c>
      <c r="O263" t="s">
        <v>621</v>
      </c>
      <c r="P263">
        <f>IFERROR(VALUE(SUBSTITUTE(SUBSTITUTE(SUBSTITUTE(Table1[[#This Row],[revenue]],"EUR",""),"$",""),".",",")),"")</f>
        <v>1286.74</v>
      </c>
      <c r="R263" t="str">
        <f>IF(OR(Table1[[#This Row],[currency]]="EUR",Table1[[#This Row],[currency]]="€"),"EUR",IF(OR(Table1[[#This Row],[currency]]="USD",Table1[[#This Row],[currency]]="$"),"USD","Unknown"))</f>
        <v>Unknown</v>
      </c>
      <c r="S263" t="s">
        <v>47</v>
      </c>
      <c r="T263" t="str">
        <f>IFERROR(_xlfn.XLOOKUP(Table1[[#This Row],[order_status]],Table8[Original],Table8[Clean],,0,1),"Unknown")</f>
        <v>Returned</v>
      </c>
      <c r="U263">
        <v>3</v>
      </c>
      <c r="V263">
        <f>IF(ISNUMBER(Table1[[#This Row],[delivery_days]]),Table1[[#This Row],[delivery_days]],IFERROR(_xlfn.XLOOKUP(Table1[[#This Row],[delivery_days]],Table57[Original],Table57[Clean],,0,1),"Unknown"))</f>
        <v>3</v>
      </c>
      <c r="W263" t="s">
        <v>24</v>
      </c>
    </row>
    <row r="264" spans="1:23" x14ac:dyDescent="0.3">
      <c r="A264" t="s">
        <v>622</v>
      </c>
      <c r="B264" t="str">
        <f>IF(ISBLANK(Table1[[#This Row],[order_id]]),"",IF(LEFT(Table1[[#This Row],[order_id]],3)="ORD",Table1[[#This Row],[order_id]],"ORD-" &amp; Table1[[#This Row],[order_id]]))</f>
        <v>ORD-1262</v>
      </c>
      <c r="C264" t="s">
        <v>623</v>
      </c>
      <c r="D264" s="1">
        <f>IFERROR(DATEVALUE(Table1[[#This Row],[order_date]]),"")</f>
        <v>45490</v>
      </c>
      <c r="E264" t="s">
        <v>624</v>
      </c>
      <c r="F264" t="str">
        <f>IF(ISBLANK(Table1[[#This Row],[customer_name]]),"Unknown Customer",PROPER(SUBSTITUTE(Table1[[#This Row],[customer_name]],"Cust.","Customer")))</f>
        <v>Customer 262</v>
      </c>
      <c r="H264" t="str">
        <f>IFERROR(_xlfn.XLOOKUP(Table1[[#This Row],[region]],Mappings!$C$3:$C$8,Mappings!$D$3:$D$8,,0,1),"Unknown")</f>
        <v>Unknown</v>
      </c>
      <c r="I264" t="s">
        <v>50</v>
      </c>
      <c r="J264" t="str">
        <f>IFERROR(_xlfn.XLOOKUP(Table1[[#This Row],[sales_channel]],Table4[Original],Table4[Clean],,0,1),"Unknown")</f>
        <v>Mobile</v>
      </c>
      <c r="K264" t="s">
        <v>51</v>
      </c>
      <c r="L264" t="str">
        <f>IFERROR(_xlfn.XLOOKUP(Table1[[#This Row],[product]],Table3[Original],Table3[Product_clean],,0,1),"Unknown")</f>
        <v>Laptop</v>
      </c>
      <c r="M264" s="6" t="s">
        <v>83</v>
      </c>
      <c r="N264">
        <f>IF(ISNUMBER(Table1[[#This Row],[quantity]]),Table1[[#This Row],[quantity]],IFERROR(VLOOKUP(Table1[[#This Row],[quantity]],Table5[#All],2,FALSE),"Unknown"))</f>
        <v>2</v>
      </c>
      <c r="O264">
        <v>847.79</v>
      </c>
      <c r="P264">
        <f>IFERROR(VALUE(SUBSTITUTE(SUBSTITUTE(SUBSTITUTE(Table1[[#This Row],[revenue]],"EUR",""),"$",""),".",",")),"")</f>
        <v>847.79</v>
      </c>
      <c r="R264" t="str">
        <f>IF(OR(Table1[[#This Row],[currency]]="EUR",Table1[[#This Row],[currency]]="€"),"EUR",IF(OR(Table1[[#This Row],[currency]]="USD",Table1[[#This Row],[currency]]="$"),"USD","Unknown"))</f>
        <v>Unknown</v>
      </c>
      <c r="S264" t="s">
        <v>35</v>
      </c>
      <c r="T264" t="str">
        <f>IFERROR(_xlfn.XLOOKUP(Table1[[#This Row],[order_status]],Table8[Original],Table8[Clean],,0,1),"Unknown")</f>
        <v>Returned</v>
      </c>
      <c r="U264" t="s">
        <v>36</v>
      </c>
      <c r="V264">
        <f>IF(ISNUMBER(Table1[[#This Row],[delivery_days]]),Table1[[#This Row],[delivery_days]],IFERROR(_xlfn.XLOOKUP(Table1[[#This Row],[delivery_days]],Table57[Original],Table57[Clean],,0,1),"Unknown"))</f>
        <v>5</v>
      </c>
      <c r="W264" t="s">
        <v>37</v>
      </c>
    </row>
    <row r="265" spans="1:23" x14ac:dyDescent="0.3">
      <c r="A265" t="s">
        <v>625</v>
      </c>
      <c r="B265" t="str">
        <f>IF(ISBLANK(Table1[[#This Row],[order_id]]),"",IF(LEFT(Table1[[#This Row],[order_id]],3)="ORD",Table1[[#This Row],[order_id]],"ORD-" &amp; Table1[[#This Row],[order_id]]))</f>
        <v>ORD-1263</v>
      </c>
      <c r="C265" t="s">
        <v>626</v>
      </c>
      <c r="D265" s="1">
        <f>IFERROR(DATEVALUE(Table1[[#This Row],[order_date]]),"")</f>
        <v>45373</v>
      </c>
      <c r="E265" t="s">
        <v>627</v>
      </c>
      <c r="F265" t="str">
        <f>IF(ISBLANK(Table1[[#This Row],[customer_name]]),"Unknown Customer",PROPER(SUBSTITUTE(Table1[[#This Row],[customer_name]],"Cust.","Customer")))</f>
        <v>Customer 263</v>
      </c>
      <c r="G265" t="s">
        <v>45</v>
      </c>
      <c r="H265" t="str">
        <f>IFERROR(_xlfn.XLOOKUP(Table1[[#This Row],[region]],Mappings!$C$3:$C$8,Mappings!$D$3:$D$8,,0,1),"Unknown")</f>
        <v>USA</v>
      </c>
      <c r="I265" t="s">
        <v>78</v>
      </c>
      <c r="J265" t="str">
        <f>IFERROR(_xlfn.XLOOKUP(Table1[[#This Row],[sales_channel]],Table4[Original],Table4[Clean],,0,1),"Unknown")</f>
        <v>Mobile</v>
      </c>
      <c r="K265" t="s">
        <v>102</v>
      </c>
      <c r="L265" t="str">
        <f>IFERROR(_xlfn.XLOOKUP(Table1[[#This Row],[product]],Table3[Original],Table3[Product_clean],,0,1),"Unknown")</f>
        <v>Phone</v>
      </c>
      <c r="M265" s="6">
        <v>2</v>
      </c>
      <c r="N265">
        <f>IF(ISNUMBER(Table1[[#This Row],[quantity]]),Table1[[#This Row],[quantity]],IFERROR(VLOOKUP(Table1[[#This Row],[quantity]],Table5[#All],2,FALSE),"Unknown"))</f>
        <v>2</v>
      </c>
      <c r="O265" t="s">
        <v>628</v>
      </c>
      <c r="P265">
        <f>IFERROR(VALUE(SUBSTITUTE(SUBSTITUTE(SUBSTITUTE(Table1[[#This Row],[revenue]],"EUR",""),"$",""),".",",")),"")</f>
        <v>345.4</v>
      </c>
      <c r="Q265" t="s">
        <v>58</v>
      </c>
      <c r="R265" t="str">
        <f>IF(OR(Table1[[#This Row],[currency]]="EUR",Table1[[#This Row],[currency]]="€"),"EUR",IF(OR(Table1[[#This Row],[currency]]="USD",Table1[[#This Row],[currency]]="$"),"USD","Unknown"))</f>
        <v>USD</v>
      </c>
      <c r="S265" t="s">
        <v>23</v>
      </c>
      <c r="T265" t="str">
        <f>IFERROR(_xlfn.XLOOKUP(Table1[[#This Row],[order_status]],Table8[Original],Table8[Clean],,0,1),"Unknown")</f>
        <v>Delivered</v>
      </c>
      <c r="U265" t="s">
        <v>36</v>
      </c>
      <c r="V265">
        <f>IF(ISNUMBER(Table1[[#This Row],[delivery_days]]),Table1[[#This Row],[delivery_days]],IFERROR(_xlfn.XLOOKUP(Table1[[#This Row],[delivery_days]],Table57[Original],Table57[Clean],,0,1),"Unknown"))</f>
        <v>5</v>
      </c>
      <c r="W265" t="s">
        <v>24</v>
      </c>
    </row>
    <row r="266" spans="1:23" x14ac:dyDescent="0.3">
      <c r="B266" t="str">
        <f>IF(ISBLANK(Table1[[#This Row],[order_id]]),"",IF(LEFT(Table1[[#This Row],[order_id]],3)="ORD",Table1[[#This Row],[order_id]],"ORD-" &amp; Table1[[#This Row],[order_id]]))</f>
        <v/>
      </c>
      <c r="C266" t="s">
        <v>629</v>
      </c>
      <c r="D266" s="1">
        <f>IFERROR(DATEVALUE(Table1[[#This Row],[order_date]]),"")</f>
        <v>45704</v>
      </c>
      <c r="E266" t="s">
        <v>630</v>
      </c>
      <c r="F266" t="str">
        <f>IF(ISBLANK(Table1[[#This Row],[customer_name]]),"Unknown Customer",PROPER(SUBSTITUTE(Table1[[#This Row],[customer_name]],"Cust.","Customer")))</f>
        <v>Customer 264</v>
      </c>
      <c r="G266" t="s">
        <v>45</v>
      </c>
      <c r="H266" t="str">
        <f>IFERROR(_xlfn.XLOOKUP(Table1[[#This Row],[region]],Mappings!$C$3:$C$8,Mappings!$D$3:$D$8,,0,1),"Unknown")</f>
        <v>USA</v>
      </c>
      <c r="I266" t="s">
        <v>68</v>
      </c>
      <c r="J266" t="str">
        <f>IFERROR(_xlfn.XLOOKUP(Table1[[#This Row],[sales_channel]],Table4[Original],Table4[Clean],,0,1),"Unknown")</f>
        <v>Online</v>
      </c>
      <c r="K266" t="s">
        <v>28</v>
      </c>
      <c r="L266" t="str">
        <f>IFERROR(_xlfn.XLOOKUP(Table1[[#This Row],[product]],Table3[Original],Table3[Product_clean],,0,1),"Unknown")</f>
        <v>Laptop</v>
      </c>
      <c r="M266" s="6"/>
      <c r="N266" t="str">
        <f>IF(ISNUMBER(Table1[[#This Row],[quantity]]),Table1[[#This Row],[quantity]],IFERROR(VLOOKUP(Table1[[#This Row],[quantity]],Table5[#All],2,FALSE),"Unknown"))</f>
        <v>Unknown</v>
      </c>
      <c r="O266" t="s">
        <v>631</v>
      </c>
      <c r="P266">
        <f>IFERROR(VALUE(SUBSTITUTE(SUBSTITUTE(SUBSTITUTE(Table1[[#This Row],[revenue]],"EUR",""),"$",""),".",",")),"")</f>
        <v>2227.41</v>
      </c>
      <c r="Q266" t="s">
        <v>58</v>
      </c>
      <c r="R266" t="str">
        <f>IF(OR(Table1[[#This Row],[currency]]="EUR",Table1[[#This Row],[currency]]="€"),"EUR",IF(OR(Table1[[#This Row],[currency]]="USD",Table1[[#This Row],[currency]]="$"),"USD","Unknown"))</f>
        <v>USD</v>
      </c>
      <c r="S266" t="s">
        <v>47</v>
      </c>
      <c r="T266" t="str">
        <f>IFERROR(_xlfn.XLOOKUP(Table1[[#This Row],[order_status]],Table8[Original],Table8[Clean],,0,1),"Unknown")</f>
        <v>Returned</v>
      </c>
      <c r="U266" t="s">
        <v>36</v>
      </c>
      <c r="V266">
        <f>IF(ISNUMBER(Table1[[#This Row],[delivery_days]]),Table1[[#This Row],[delivery_days]],IFERROR(_xlfn.XLOOKUP(Table1[[#This Row],[delivery_days]],Table57[Original],Table57[Clean],,0,1),"Unknown"))</f>
        <v>5</v>
      </c>
      <c r="W266" t="s">
        <v>24</v>
      </c>
    </row>
    <row r="267" spans="1:23" x14ac:dyDescent="0.3">
      <c r="A267">
        <v>1265</v>
      </c>
      <c r="B267" t="str">
        <f>IF(ISBLANK(Table1[[#This Row],[order_id]]),"",IF(LEFT(Table1[[#This Row],[order_id]],3)="ORD",Table1[[#This Row],[order_id]],"ORD-" &amp; Table1[[#This Row],[order_id]]))</f>
        <v>ORD-1265</v>
      </c>
      <c r="C267" t="s">
        <v>632</v>
      </c>
      <c r="D267" s="1">
        <f>IFERROR(DATEVALUE(Table1[[#This Row],[order_date]]),"")</f>
        <v>45381</v>
      </c>
      <c r="E267" t="s">
        <v>633</v>
      </c>
      <c r="F267" t="str">
        <f>IF(ISBLANK(Table1[[#This Row],[customer_name]]),"Unknown Customer",PROPER(SUBSTITUTE(Table1[[#This Row],[customer_name]],"Cust.","Customer")))</f>
        <v>Customer 265</v>
      </c>
      <c r="G267" t="s">
        <v>73</v>
      </c>
      <c r="H267" t="str">
        <f>IFERROR(_xlfn.XLOOKUP(Table1[[#This Row],[region]],Mappings!$C$3:$C$8,Mappings!$D$3:$D$8,,0,1),"Unknown")</f>
        <v>Europe</v>
      </c>
      <c r="I267" t="s">
        <v>68</v>
      </c>
      <c r="J267" t="str">
        <f>IFERROR(_xlfn.XLOOKUP(Table1[[#This Row],[sales_channel]],Table4[Original],Table4[Clean],,0,1),"Unknown")</f>
        <v>Online</v>
      </c>
      <c r="K267" t="s">
        <v>41</v>
      </c>
      <c r="L267" t="str">
        <f>IFERROR(_xlfn.XLOOKUP(Table1[[#This Row],[product]],Table3[Original],Table3[Product_clean],,0,1),"Unknown")</f>
        <v>Phone</v>
      </c>
      <c r="M267" s="6">
        <v>1</v>
      </c>
      <c r="N267">
        <f>IF(ISNUMBER(Table1[[#This Row],[quantity]]),Table1[[#This Row],[quantity]],IFERROR(VLOOKUP(Table1[[#This Row],[quantity]],Table5[#All],2,FALSE),"Unknown"))</f>
        <v>1</v>
      </c>
      <c r="O267">
        <v>1496.79</v>
      </c>
      <c r="P267">
        <f>IFERROR(VALUE(SUBSTITUTE(SUBSTITUTE(SUBSTITUTE(Table1[[#This Row],[revenue]],"EUR",""),"$",""),".",",")),"")</f>
        <v>1496.79</v>
      </c>
      <c r="Q267" t="s">
        <v>55</v>
      </c>
      <c r="R267" t="str">
        <f>IF(OR(Table1[[#This Row],[currency]]="EUR",Table1[[#This Row],[currency]]="€"),"EUR",IF(OR(Table1[[#This Row],[currency]]="USD",Table1[[#This Row],[currency]]="$"),"USD","Unknown"))</f>
        <v>EUR</v>
      </c>
      <c r="S267" t="s">
        <v>18</v>
      </c>
      <c r="T267" t="str">
        <f>IFERROR(_xlfn.XLOOKUP(Table1[[#This Row],[order_status]],Table8[Original],Table8[Clean],,0,1),"Unknown")</f>
        <v>Pending</v>
      </c>
      <c r="U267">
        <v>2</v>
      </c>
      <c r="V267">
        <f>IF(ISNUMBER(Table1[[#This Row],[delivery_days]]),Table1[[#This Row],[delivery_days]],IFERROR(_xlfn.XLOOKUP(Table1[[#This Row],[delivery_days]],Table57[Original],Table57[Clean],,0,1),"Unknown"))</f>
        <v>2</v>
      </c>
      <c r="W267" t="s">
        <v>37</v>
      </c>
    </row>
    <row r="268" spans="1:23" x14ac:dyDescent="0.3">
      <c r="A268">
        <v>1266</v>
      </c>
      <c r="B268" t="str">
        <f>IF(ISBLANK(Table1[[#This Row],[order_id]]),"",IF(LEFT(Table1[[#This Row],[order_id]],3)="ORD",Table1[[#This Row],[order_id]],"ORD-" &amp; Table1[[#This Row],[order_id]]))</f>
        <v>ORD-1266</v>
      </c>
      <c r="C268" t="s">
        <v>634</v>
      </c>
      <c r="D268" s="1">
        <f>IFERROR(DATEVALUE(Table1[[#This Row],[order_date]]),"")</f>
        <v>45466</v>
      </c>
      <c r="E268" t="s">
        <v>635</v>
      </c>
      <c r="F268" t="str">
        <f>IF(ISBLANK(Table1[[#This Row],[customer_name]]),"Unknown Customer",PROPER(SUBSTITUTE(Table1[[#This Row],[customer_name]],"Cust.","Customer")))</f>
        <v>Customer 266</v>
      </c>
      <c r="G268" t="s">
        <v>45</v>
      </c>
      <c r="H268" t="str">
        <f>IFERROR(_xlfn.XLOOKUP(Table1[[#This Row],[region]],Mappings!$C$3:$C$8,Mappings!$D$3:$D$8,,0,1),"Unknown")</f>
        <v>USA</v>
      </c>
      <c r="J268" t="str">
        <f>IFERROR(_xlfn.XLOOKUP(Table1[[#This Row],[sales_channel]],Table4[Original],Table4[Clean],,0,1),"Unknown")</f>
        <v>Unknown</v>
      </c>
      <c r="K268" t="s">
        <v>28</v>
      </c>
      <c r="L268" t="str">
        <f>IFERROR(_xlfn.XLOOKUP(Table1[[#This Row],[product]],Table3[Original],Table3[Product_clean],,0,1),"Unknown")</f>
        <v>Laptop</v>
      </c>
      <c r="M268" s="6">
        <v>1</v>
      </c>
      <c r="N268">
        <f>IF(ISNUMBER(Table1[[#This Row],[quantity]]),Table1[[#This Row],[quantity]],IFERROR(VLOOKUP(Table1[[#This Row],[quantity]],Table5[#All],2,FALSE),"Unknown"))</f>
        <v>1</v>
      </c>
      <c r="O268" t="s">
        <v>636</v>
      </c>
      <c r="P268">
        <f>IFERROR(VALUE(SUBSTITUTE(SUBSTITUTE(SUBSTITUTE(Table1[[#This Row],[revenue]],"EUR",""),"$",""),".",",")),"")</f>
        <v>2164.9699999999998</v>
      </c>
      <c r="R268" t="str">
        <f>IF(OR(Table1[[#This Row],[currency]]="EUR",Table1[[#This Row],[currency]]="€"),"EUR",IF(OR(Table1[[#This Row],[currency]]="USD",Table1[[#This Row],[currency]]="$"),"USD","Unknown"))</f>
        <v>Unknown</v>
      </c>
      <c r="S268" t="s">
        <v>35</v>
      </c>
      <c r="T268" t="str">
        <f>IFERROR(_xlfn.XLOOKUP(Table1[[#This Row],[order_status]],Table8[Original],Table8[Clean],,0,1),"Unknown")</f>
        <v>Returned</v>
      </c>
      <c r="U268">
        <v>1</v>
      </c>
      <c r="V268">
        <f>IF(ISNUMBER(Table1[[#This Row],[delivery_days]]),Table1[[#This Row],[delivery_days]],IFERROR(_xlfn.XLOOKUP(Table1[[#This Row],[delivery_days]],Table57[Original],Table57[Clean],,0,1),"Unknown"))</f>
        <v>1</v>
      </c>
      <c r="W268" t="s">
        <v>24</v>
      </c>
    </row>
    <row r="269" spans="1:23" x14ac:dyDescent="0.3">
      <c r="B269" t="str">
        <f>IF(ISBLANK(Table1[[#This Row],[order_id]]),"",IF(LEFT(Table1[[#This Row],[order_id]],3)="ORD",Table1[[#This Row],[order_id]],"ORD-" &amp; Table1[[#This Row],[order_id]]))</f>
        <v/>
      </c>
      <c r="C269" t="s">
        <v>39</v>
      </c>
      <c r="D269" s="1">
        <f>IFERROR(DATEVALUE(Table1[[#This Row],[order_date]]),"")</f>
        <v>45652</v>
      </c>
      <c r="E269" t="s">
        <v>637</v>
      </c>
      <c r="F269" t="str">
        <f>IF(ISBLANK(Table1[[#This Row],[customer_name]]),"Unknown Customer",PROPER(SUBSTITUTE(Table1[[#This Row],[customer_name]],"Cust.","Customer")))</f>
        <v>Customer 267</v>
      </c>
      <c r="G269" t="s">
        <v>26</v>
      </c>
      <c r="H269" t="str">
        <f>IFERROR(_xlfn.XLOOKUP(Table1[[#This Row],[region]],Mappings!$C$3:$C$8,Mappings!$D$3:$D$8,,0,1),"Unknown")</f>
        <v>Asia</v>
      </c>
      <c r="I269" t="s">
        <v>50</v>
      </c>
      <c r="J269" t="str">
        <f>IFERROR(_xlfn.XLOOKUP(Table1[[#This Row],[sales_channel]],Table4[Original],Table4[Clean],,0,1),"Unknown")</f>
        <v>Mobile</v>
      </c>
      <c r="K269" t="s">
        <v>28</v>
      </c>
      <c r="L269" t="str">
        <f>IFERROR(_xlfn.XLOOKUP(Table1[[#This Row],[product]],Table3[Original],Table3[Product_clean],,0,1),"Unknown")</f>
        <v>Laptop</v>
      </c>
      <c r="M269" s="6">
        <v>2</v>
      </c>
      <c r="N269">
        <f>IF(ISNUMBER(Table1[[#This Row],[quantity]]),Table1[[#This Row],[quantity]],IFERROR(VLOOKUP(Table1[[#This Row],[quantity]],Table5[#All],2,FALSE),"Unknown"))</f>
        <v>2</v>
      </c>
      <c r="P269" t="str">
        <f>IFERROR(VALUE(SUBSTITUTE(SUBSTITUTE(SUBSTITUTE(Table1[[#This Row],[revenue]],"EUR",""),"$",""),".",",")),"")</f>
        <v/>
      </c>
      <c r="Q269" t="s">
        <v>22</v>
      </c>
      <c r="R269" t="str">
        <f>IF(OR(Table1[[#This Row],[currency]]="EUR",Table1[[#This Row],[currency]]="€"),"EUR",IF(OR(Table1[[#This Row],[currency]]="USD",Table1[[#This Row],[currency]]="$"),"USD","Unknown"))</f>
        <v>USD</v>
      </c>
      <c r="T269" t="str">
        <f>IFERROR(_xlfn.XLOOKUP(Table1[[#This Row],[order_status]],Table8[Original],Table8[Clean],,0,1),"Unknown")</f>
        <v>Unknown</v>
      </c>
      <c r="U269">
        <v>5</v>
      </c>
      <c r="V269">
        <f>IF(ISNUMBER(Table1[[#This Row],[delivery_days]]),Table1[[#This Row],[delivery_days]],IFERROR(_xlfn.XLOOKUP(Table1[[#This Row],[delivery_days]],Table57[Original],Table57[Clean],,0,1),"Unknown"))</f>
        <v>5</v>
      </c>
      <c r="W269" t="s">
        <v>24</v>
      </c>
    </row>
    <row r="270" spans="1:23" x14ac:dyDescent="0.3">
      <c r="A270">
        <v>1268</v>
      </c>
      <c r="B270" t="str">
        <f>IF(ISBLANK(Table1[[#This Row],[order_id]]),"",IF(LEFT(Table1[[#This Row],[order_id]],3)="ORD",Table1[[#This Row],[order_id]],"ORD-" &amp; Table1[[#This Row],[order_id]]))</f>
        <v>ORD-1268</v>
      </c>
      <c r="C270" t="s">
        <v>632</v>
      </c>
      <c r="D270" s="1">
        <f>IFERROR(DATEVALUE(Table1[[#This Row],[order_date]]),"")</f>
        <v>45381</v>
      </c>
      <c r="F270" t="str">
        <f>IF(ISBLANK(Table1[[#This Row],[customer_name]]),"Unknown Customer",PROPER(SUBSTITUTE(Table1[[#This Row],[customer_name]],"Cust.","Customer")))</f>
        <v>Unknown Customer</v>
      </c>
      <c r="G270" t="s">
        <v>26</v>
      </c>
      <c r="H270" t="str">
        <f>IFERROR(_xlfn.XLOOKUP(Table1[[#This Row],[region]],Mappings!$C$3:$C$8,Mappings!$D$3:$D$8,,0,1),"Unknown")</f>
        <v>Asia</v>
      </c>
      <c r="J270" t="str">
        <f>IFERROR(_xlfn.XLOOKUP(Table1[[#This Row],[sales_channel]],Table4[Original],Table4[Clean],,0,1),"Unknown")</f>
        <v>Unknown</v>
      </c>
      <c r="K270" t="s">
        <v>15</v>
      </c>
      <c r="L270" t="str">
        <f>IFERROR(_xlfn.XLOOKUP(Table1[[#This Row],[product]],Table3[Original],Table3[Product_clean],,0,1),"Unknown")</f>
        <v>Tablet</v>
      </c>
      <c r="M270" s="6">
        <v>3</v>
      </c>
      <c r="N270">
        <f>IF(ISNUMBER(Table1[[#This Row],[quantity]]),Table1[[#This Row],[quantity]],IFERROR(VLOOKUP(Table1[[#This Row],[quantity]],Table5[#All],2,FALSE),"Unknown"))</f>
        <v>3</v>
      </c>
      <c r="O270" t="s">
        <v>638</v>
      </c>
      <c r="P270">
        <f>IFERROR(VALUE(SUBSTITUTE(SUBSTITUTE(SUBSTITUTE(Table1[[#This Row],[revenue]],"EUR",""),"$",""),".",",")),"")</f>
        <v>2136.19</v>
      </c>
      <c r="Q270" t="s">
        <v>58</v>
      </c>
      <c r="R270" t="str">
        <f>IF(OR(Table1[[#This Row],[currency]]="EUR",Table1[[#This Row],[currency]]="€"),"EUR",IF(OR(Table1[[#This Row],[currency]]="USD",Table1[[#This Row],[currency]]="$"),"USD","Unknown"))</f>
        <v>USD</v>
      </c>
      <c r="S270" t="s">
        <v>23</v>
      </c>
      <c r="T270" t="str">
        <f>IFERROR(_xlfn.XLOOKUP(Table1[[#This Row],[order_status]],Table8[Original],Table8[Clean],,0,1),"Unknown")</f>
        <v>Delivered</v>
      </c>
      <c r="V270" t="str">
        <f>IF(ISNUMBER(Table1[[#This Row],[delivery_days]]),Table1[[#This Row],[delivery_days]],IFERROR(_xlfn.XLOOKUP(Table1[[#This Row],[delivery_days]],Table57[Original],Table57[Clean],,0,1),"Unknown"))</f>
        <v>Unknown</v>
      </c>
    </row>
    <row r="271" spans="1:23" x14ac:dyDescent="0.3">
      <c r="B271" t="str">
        <f>IF(ISBLANK(Table1[[#This Row],[order_id]]),"",IF(LEFT(Table1[[#This Row],[order_id]],3)="ORD",Table1[[#This Row],[order_id]],"ORD-" &amp; Table1[[#This Row],[order_id]]))</f>
        <v/>
      </c>
      <c r="C271" t="s">
        <v>639</v>
      </c>
      <c r="D271" s="1">
        <f>IFERROR(DATEVALUE(Table1[[#This Row],[order_date]]),"")</f>
        <v>45651</v>
      </c>
      <c r="E271" t="s">
        <v>640</v>
      </c>
      <c r="F271" t="str">
        <f>IF(ISBLANK(Table1[[#This Row],[customer_name]]),"Unknown Customer",PROPER(SUBSTITUTE(Table1[[#This Row],[customer_name]],"Cust.","Customer")))</f>
        <v>Customer 269</v>
      </c>
      <c r="G271" t="s">
        <v>45</v>
      </c>
      <c r="H271" t="str">
        <f>IFERROR(_xlfn.XLOOKUP(Table1[[#This Row],[region]],Mappings!$C$3:$C$8,Mappings!$D$3:$D$8,,0,1),"Unknown")</f>
        <v>USA</v>
      </c>
      <c r="I271" t="s">
        <v>50</v>
      </c>
      <c r="J271" t="str">
        <f>IFERROR(_xlfn.XLOOKUP(Table1[[#This Row],[sales_channel]],Table4[Original],Table4[Clean],,0,1),"Unknown")</f>
        <v>Mobile</v>
      </c>
      <c r="L271" t="str">
        <f>IFERROR(_xlfn.XLOOKUP(Table1[[#This Row],[product]],Table3[Original],Table3[Product_clean],,0,1),"Unknown")</f>
        <v>Unknown</v>
      </c>
      <c r="M271" s="6"/>
      <c r="N271" t="str">
        <f>IF(ISNUMBER(Table1[[#This Row],[quantity]]),Table1[[#This Row],[quantity]],IFERROR(VLOOKUP(Table1[[#This Row],[quantity]],Table5[#All],2,FALSE),"Unknown"))</f>
        <v>Unknown</v>
      </c>
      <c r="P271" t="str">
        <f>IFERROR(VALUE(SUBSTITUTE(SUBSTITUTE(SUBSTITUTE(Table1[[#This Row],[revenue]],"EUR",""),"$",""),".",",")),"")</f>
        <v/>
      </c>
      <c r="Q271" t="s">
        <v>58</v>
      </c>
      <c r="R271" t="str">
        <f>IF(OR(Table1[[#This Row],[currency]]="EUR",Table1[[#This Row],[currency]]="€"),"EUR",IF(OR(Table1[[#This Row],[currency]]="USD",Table1[[#This Row],[currency]]="$"),"USD","Unknown"))</f>
        <v>USD</v>
      </c>
      <c r="T271" t="str">
        <f>IFERROR(_xlfn.XLOOKUP(Table1[[#This Row],[order_status]],Table8[Original],Table8[Clean],,0,1),"Unknown")</f>
        <v>Unknown</v>
      </c>
      <c r="U271" t="s">
        <v>36</v>
      </c>
      <c r="V271">
        <f>IF(ISNUMBER(Table1[[#This Row],[delivery_days]]),Table1[[#This Row],[delivery_days]],IFERROR(_xlfn.XLOOKUP(Table1[[#This Row],[delivery_days]],Table57[Original],Table57[Clean],,0,1),"Unknown"))</f>
        <v>5</v>
      </c>
    </row>
    <row r="272" spans="1:23" x14ac:dyDescent="0.3">
      <c r="A272">
        <v>1270</v>
      </c>
      <c r="B272" t="str">
        <f>IF(ISBLANK(Table1[[#This Row],[order_id]]),"",IF(LEFT(Table1[[#This Row],[order_id]],3)="ORD",Table1[[#This Row],[order_id]],"ORD-" &amp; Table1[[#This Row],[order_id]]))</f>
        <v>ORD-1270</v>
      </c>
      <c r="C272" t="s">
        <v>332</v>
      </c>
      <c r="D272" s="1">
        <f>IFERROR(DATEVALUE(Table1[[#This Row],[order_date]]),"")</f>
        <v>45605</v>
      </c>
      <c r="E272" t="s">
        <v>641</v>
      </c>
      <c r="F272" t="str">
        <f>IF(ISBLANK(Table1[[#This Row],[customer_name]]),"Unknown Customer",PROPER(SUBSTITUTE(Table1[[#This Row],[customer_name]],"Cust.","Customer")))</f>
        <v>Customer 270</v>
      </c>
      <c r="G272" t="s">
        <v>54</v>
      </c>
      <c r="H272" t="str">
        <f>IFERROR(_xlfn.XLOOKUP(Table1[[#This Row],[region]],Mappings!$C$3:$C$8,Mappings!$D$3:$D$8,,0,1),"Unknown")</f>
        <v>USA</v>
      </c>
      <c r="J272" t="str">
        <f>IFERROR(_xlfn.XLOOKUP(Table1[[#This Row],[sales_channel]],Table4[Original],Table4[Clean],,0,1),"Unknown")</f>
        <v>Unknown</v>
      </c>
      <c r="K272" t="s">
        <v>51</v>
      </c>
      <c r="L272" t="str">
        <f>IFERROR(_xlfn.XLOOKUP(Table1[[#This Row],[product]],Table3[Original],Table3[Product_clean],,0,1),"Unknown")</f>
        <v>Laptop</v>
      </c>
      <c r="M272" s="6">
        <v>3</v>
      </c>
      <c r="N272">
        <f>IF(ISNUMBER(Table1[[#This Row],[quantity]]),Table1[[#This Row],[quantity]],IFERROR(VLOOKUP(Table1[[#This Row],[quantity]],Table5[#All],2,FALSE),"Unknown"))</f>
        <v>3</v>
      </c>
      <c r="O272">
        <v>464.9</v>
      </c>
      <c r="P272">
        <f>IFERROR(VALUE(SUBSTITUTE(SUBSTITUTE(SUBSTITUTE(Table1[[#This Row],[revenue]],"EUR",""),"$",""),".",",")),"")</f>
        <v>464.9</v>
      </c>
      <c r="Q272" t="s">
        <v>22</v>
      </c>
      <c r="R272" t="str">
        <f>IF(OR(Table1[[#This Row],[currency]]="EUR",Table1[[#This Row],[currency]]="€"),"EUR",IF(OR(Table1[[#This Row],[currency]]="USD",Table1[[#This Row],[currency]]="$"),"USD","Unknown"))</f>
        <v>USD</v>
      </c>
      <c r="S272" t="s">
        <v>30</v>
      </c>
      <c r="T272" t="str">
        <f>IFERROR(_xlfn.XLOOKUP(Table1[[#This Row],[order_status]],Table8[Original],Table8[Clean],,0,1),"Unknown")</f>
        <v>Delivered</v>
      </c>
      <c r="U272">
        <v>3</v>
      </c>
      <c r="V272">
        <f>IF(ISNUMBER(Table1[[#This Row],[delivery_days]]),Table1[[#This Row],[delivery_days]],IFERROR(_xlfn.XLOOKUP(Table1[[#This Row],[delivery_days]],Table57[Original],Table57[Clean],,0,1),"Unknown"))</f>
        <v>3</v>
      </c>
      <c r="W272" t="s">
        <v>37</v>
      </c>
    </row>
    <row r="273" spans="1:23" x14ac:dyDescent="0.3">
      <c r="A273" t="s">
        <v>642</v>
      </c>
      <c r="B273" t="str">
        <f>IF(ISBLANK(Table1[[#This Row],[order_id]]),"",IF(LEFT(Table1[[#This Row],[order_id]],3)="ORD",Table1[[#This Row],[order_id]],"ORD-" &amp; Table1[[#This Row],[order_id]]))</f>
        <v>ORD-1271</v>
      </c>
      <c r="C273" t="s">
        <v>643</v>
      </c>
      <c r="D273" s="1">
        <f>IFERROR(DATEVALUE(Table1[[#This Row],[order_date]]),"")</f>
        <v>45419</v>
      </c>
      <c r="E273" t="s">
        <v>644</v>
      </c>
      <c r="F273" t="str">
        <f>IF(ISBLANK(Table1[[#This Row],[customer_name]]),"Unknown Customer",PROPER(SUBSTITUTE(Table1[[#This Row],[customer_name]],"Cust.","Customer")))</f>
        <v>Customer 271</v>
      </c>
      <c r="G273" t="s">
        <v>73</v>
      </c>
      <c r="H273" t="str">
        <f>IFERROR(_xlfn.XLOOKUP(Table1[[#This Row],[region]],Mappings!$C$3:$C$8,Mappings!$D$3:$D$8,,0,1),"Unknown")</f>
        <v>Europe</v>
      </c>
      <c r="I273" t="s">
        <v>78</v>
      </c>
      <c r="J273" t="str">
        <f>IFERROR(_xlfn.XLOOKUP(Table1[[#This Row],[sales_channel]],Table4[Original],Table4[Clean],,0,1),"Unknown")</f>
        <v>Mobile</v>
      </c>
      <c r="K273" t="s">
        <v>41</v>
      </c>
      <c r="L273" t="str">
        <f>IFERROR(_xlfn.XLOOKUP(Table1[[#This Row],[product]],Table3[Original],Table3[Product_clean],,0,1),"Unknown")</f>
        <v>Phone</v>
      </c>
      <c r="M273" s="6" t="s">
        <v>83</v>
      </c>
      <c r="N273">
        <f>IF(ISNUMBER(Table1[[#This Row],[quantity]]),Table1[[#This Row],[quantity]],IFERROR(VLOOKUP(Table1[[#This Row],[quantity]],Table5[#All],2,FALSE),"Unknown"))</f>
        <v>2</v>
      </c>
      <c r="O273" t="s">
        <v>645</v>
      </c>
      <c r="P273">
        <f>IFERROR(VALUE(SUBSTITUTE(SUBSTITUTE(SUBSTITUTE(Table1[[#This Row],[revenue]],"EUR",""),"$",""),".",",")),"")</f>
        <v>2094.87</v>
      </c>
      <c r="Q273" t="s">
        <v>58</v>
      </c>
      <c r="R273" t="str">
        <f>IF(OR(Table1[[#This Row],[currency]]="EUR",Table1[[#This Row],[currency]]="€"),"EUR",IF(OR(Table1[[#This Row],[currency]]="USD",Table1[[#This Row],[currency]]="$"),"USD","Unknown"))</f>
        <v>USD</v>
      </c>
      <c r="S273" t="s">
        <v>47</v>
      </c>
      <c r="T273" t="str">
        <f>IFERROR(_xlfn.XLOOKUP(Table1[[#This Row],[order_status]],Table8[Original],Table8[Clean],,0,1),"Unknown")</f>
        <v>Returned</v>
      </c>
      <c r="U273">
        <v>5</v>
      </c>
      <c r="V273">
        <f>IF(ISNUMBER(Table1[[#This Row],[delivery_days]]),Table1[[#This Row],[delivery_days]],IFERROR(_xlfn.XLOOKUP(Table1[[#This Row],[delivery_days]],Table57[Original],Table57[Clean],,0,1),"Unknown"))</f>
        <v>5</v>
      </c>
    </row>
    <row r="274" spans="1:23" x14ac:dyDescent="0.3">
      <c r="A274" t="s">
        <v>646</v>
      </c>
      <c r="B274" t="str">
        <f>IF(ISBLANK(Table1[[#This Row],[order_id]]),"",IF(LEFT(Table1[[#This Row],[order_id]],3)="ORD",Table1[[#This Row],[order_id]],"ORD-" &amp; Table1[[#This Row],[order_id]]))</f>
        <v>ORD-1272</v>
      </c>
      <c r="C274" t="s">
        <v>647</v>
      </c>
      <c r="D274" s="1">
        <f>IFERROR(DATEVALUE(Table1[[#This Row],[order_date]]),"")</f>
        <v>45471</v>
      </c>
      <c r="E274" t="s">
        <v>648</v>
      </c>
      <c r="F274" t="str">
        <f>IF(ISBLANK(Table1[[#This Row],[customer_name]]),"Unknown Customer",PROPER(SUBSTITUTE(Table1[[#This Row],[customer_name]],"Cust.","Customer")))</f>
        <v>Customer 272</v>
      </c>
      <c r="G274" t="s">
        <v>32</v>
      </c>
      <c r="H274" t="str">
        <f>IFERROR(_xlfn.XLOOKUP(Table1[[#This Row],[region]],Mappings!$C$3:$C$8,Mappings!$D$3:$D$8,,0,1),"Unknown")</f>
        <v>Europe</v>
      </c>
      <c r="I274" t="s">
        <v>14</v>
      </c>
      <c r="J274" t="str">
        <f>IFERROR(_xlfn.XLOOKUP(Table1[[#This Row],[sales_channel]],Table4[Original],Table4[Clean],,0,1),"Unknown")</f>
        <v>Online</v>
      </c>
      <c r="L274" t="str">
        <f>IFERROR(_xlfn.XLOOKUP(Table1[[#This Row],[product]],Table3[Original],Table3[Product_clean],,0,1),"Unknown")</f>
        <v>Unknown</v>
      </c>
      <c r="M274" s="6">
        <v>1</v>
      </c>
      <c r="N274">
        <f>IF(ISNUMBER(Table1[[#This Row],[quantity]]),Table1[[#This Row],[quantity]],IFERROR(VLOOKUP(Table1[[#This Row],[quantity]],Table5[#All],2,FALSE),"Unknown"))</f>
        <v>1</v>
      </c>
      <c r="O274">
        <v>1660.77</v>
      </c>
      <c r="P274">
        <f>IFERROR(VALUE(SUBSTITUTE(SUBSTITUTE(SUBSTITUTE(Table1[[#This Row],[revenue]],"EUR",""),"$",""),".",",")),"")</f>
        <v>1660.77</v>
      </c>
      <c r="Q274" t="s">
        <v>55</v>
      </c>
      <c r="R274" t="str">
        <f>IF(OR(Table1[[#This Row],[currency]]="EUR",Table1[[#This Row],[currency]]="€"),"EUR",IF(OR(Table1[[#This Row],[currency]]="USD",Table1[[#This Row],[currency]]="$"),"USD","Unknown"))</f>
        <v>EUR</v>
      </c>
      <c r="S274" t="s">
        <v>30</v>
      </c>
      <c r="T274" t="str">
        <f>IFERROR(_xlfn.XLOOKUP(Table1[[#This Row],[order_status]],Table8[Original],Table8[Clean],,0,1),"Unknown")</f>
        <v>Delivered</v>
      </c>
      <c r="U274">
        <v>3</v>
      </c>
      <c r="V274">
        <f>IF(ISNUMBER(Table1[[#This Row],[delivery_days]]),Table1[[#This Row],[delivery_days]],IFERROR(_xlfn.XLOOKUP(Table1[[#This Row],[delivery_days]],Table57[Original],Table57[Clean],,0,1),"Unknown"))</f>
        <v>3</v>
      </c>
      <c r="W274" t="s">
        <v>24</v>
      </c>
    </row>
    <row r="275" spans="1:23" x14ac:dyDescent="0.3">
      <c r="A275" t="s">
        <v>649</v>
      </c>
      <c r="B275" t="str">
        <f>IF(ISBLANK(Table1[[#This Row],[order_id]]),"",IF(LEFT(Table1[[#This Row],[order_id]],3)="ORD",Table1[[#This Row],[order_id]],"ORD-" &amp; Table1[[#This Row],[order_id]]))</f>
        <v>ORD-1273</v>
      </c>
      <c r="C275" t="s">
        <v>650</v>
      </c>
      <c r="D275" s="1">
        <f>IFERROR(DATEVALUE(Table1[[#This Row],[order_date]]),"")</f>
        <v>45345</v>
      </c>
      <c r="E275" t="s">
        <v>651</v>
      </c>
      <c r="F275" t="str">
        <f>IF(ISBLANK(Table1[[#This Row],[customer_name]]),"Unknown Customer",PROPER(SUBSTITUTE(Table1[[#This Row],[customer_name]],"Cust.","Customer")))</f>
        <v>Customer 273</v>
      </c>
      <c r="G275" t="s">
        <v>45</v>
      </c>
      <c r="H275" t="str">
        <f>IFERROR(_xlfn.XLOOKUP(Table1[[#This Row],[region]],Mappings!$C$3:$C$8,Mappings!$D$3:$D$8,,0,1),"Unknown")</f>
        <v>USA</v>
      </c>
      <c r="I275" t="s">
        <v>14</v>
      </c>
      <c r="J275" t="str">
        <f>IFERROR(_xlfn.XLOOKUP(Table1[[#This Row],[sales_channel]],Table4[Original],Table4[Clean],,0,1),"Unknown")</f>
        <v>Online</v>
      </c>
      <c r="K275" t="s">
        <v>102</v>
      </c>
      <c r="L275" t="str">
        <f>IFERROR(_xlfn.XLOOKUP(Table1[[#This Row],[product]],Table3[Original],Table3[Product_clean],,0,1),"Unknown")</f>
        <v>Phone</v>
      </c>
      <c r="M275" s="6"/>
      <c r="N275" t="str">
        <f>IF(ISNUMBER(Table1[[#This Row],[quantity]]),Table1[[#This Row],[quantity]],IFERROR(VLOOKUP(Table1[[#This Row],[quantity]],Table5[#All],2,FALSE),"Unknown"))</f>
        <v>Unknown</v>
      </c>
      <c r="O275" t="s">
        <v>652</v>
      </c>
      <c r="P275">
        <f>IFERROR(VALUE(SUBSTITUTE(SUBSTITUTE(SUBSTITUTE(Table1[[#This Row],[revenue]],"EUR",""),"$",""),".",",")),"")</f>
        <v>268.89</v>
      </c>
      <c r="R275" t="str">
        <f>IF(OR(Table1[[#This Row],[currency]]="EUR",Table1[[#This Row],[currency]]="€"),"EUR",IF(OR(Table1[[#This Row],[currency]]="USD",Table1[[#This Row],[currency]]="$"),"USD","Unknown"))</f>
        <v>Unknown</v>
      </c>
      <c r="S275" t="s">
        <v>47</v>
      </c>
      <c r="T275" t="str">
        <f>IFERROR(_xlfn.XLOOKUP(Table1[[#This Row],[order_status]],Table8[Original],Table8[Clean],,0,1),"Unknown")</f>
        <v>Returned</v>
      </c>
      <c r="V275" t="str">
        <f>IF(ISNUMBER(Table1[[#This Row],[delivery_days]]),Table1[[#This Row],[delivery_days]],IFERROR(_xlfn.XLOOKUP(Table1[[#This Row],[delivery_days]],Table57[Original],Table57[Clean],,0,1),"Unknown"))</f>
        <v>Unknown</v>
      </c>
    </row>
    <row r="276" spans="1:23" x14ac:dyDescent="0.3">
      <c r="B276" t="str">
        <f>IF(ISBLANK(Table1[[#This Row],[order_id]]),"",IF(LEFT(Table1[[#This Row],[order_id]],3)="ORD",Table1[[#This Row],[order_id]],"ORD-" &amp; Table1[[#This Row],[order_id]]))</f>
        <v/>
      </c>
      <c r="D276" s="1" t="str">
        <f>IFERROR(DATEVALUE(Table1[[#This Row],[order_date]]),"")</f>
        <v/>
      </c>
      <c r="E276" t="s">
        <v>653</v>
      </c>
      <c r="F276" t="str">
        <f>IF(ISBLANK(Table1[[#This Row],[customer_name]]),"Unknown Customer",PROPER(SUBSTITUTE(Table1[[#This Row],[customer_name]],"Cust.","Customer")))</f>
        <v>Customer 274</v>
      </c>
      <c r="G276" t="s">
        <v>73</v>
      </c>
      <c r="H276" t="str">
        <f>IFERROR(_xlfn.XLOOKUP(Table1[[#This Row],[region]],Mappings!$C$3:$C$8,Mappings!$D$3:$D$8,,0,1),"Unknown")</f>
        <v>Europe</v>
      </c>
      <c r="I276" t="s">
        <v>14</v>
      </c>
      <c r="J276" t="str">
        <f>IFERROR(_xlfn.XLOOKUP(Table1[[#This Row],[sales_channel]],Table4[Original],Table4[Clean],,0,1),"Unknown")</f>
        <v>Online</v>
      </c>
      <c r="K276" t="s">
        <v>102</v>
      </c>
      <c r="L276" t="str">
        <f>IFERROR(_xlfn.XLOOKUP(Table1[[#This Row],[product]],Table3[Original],Table3[Product_clean],,0,1),"Unknown")</f>
        <v>Phone</v>
      </c>
      <c r="M276" s="6">
        <v>2</v>
      </c>
      <c r="N276">
        <f>IF(ISNUMBER(Table1[[#This Row],[quantity]]),Table1[[#This Row],[quantity]],IFERROR(VLOOKUP(Table1[[#This Row],[quantity]],Table5[#All],2,FALSE),"Unknown"))</f>
        <v>2</v>
      </c>
      <c r="O276" t="s">
        <v>654</v>
      </c>
      <c r="P276">
        <f>IFERROR(VALUE(SUBSTITUTE(SUBSTITUTE(SUBSTITUTE(Table1[[#This Row],[revenue]],"EUR",""),"$",""),".",",")),"")</f>
        <v>2830.2</v>
      </c>
      <c r="Q276" t="s">
        <v>58</v>
      </c>
      <c r="R276" t="str">
        <f>IF(OR(Table1[[#This Row],[currency]]="EUR",Table1[[#This Row],[currency]]="€"),"EUR",IF(OR(Table1[[#This Row],[currency]]="USD",Table1[[#This Row],[currency]]="$"),"USD","Unknown"))</f>
        <v>USD</v>
      </c>
      <c r="S276" t="s">
        <v>47</v>
      </c>
      <c r="T276" t="str">
        <f>IFERROR(_xlfn.XLOOKUP(Table1[[#This Row],[order_status]],Table8[Original],Table8[Clean],,0,1),"Unknown")</f>
        <v>Returned</v>
      </c>
      <c r="V276" t="str">
        <f>IF(ISNUMBER(Table1[[#This Row],[delivery_days]]),Table1[[#This Row],[delivery_days]],IFERROR(_xlfn.XLOOKUP(Table1[[#This Row],[delivery_days]],Table57[Original],Table57[Clean],,0,1),"Unknown"))</f>
        <v>Unknown</v>
      </c>
      <c r="W276" t="s">
        <v>24</v>
      </c>
    </row>
    <row r="277" spans="1:23" x14ac:dyDescent="0.3">
      <c r="A277">
        <v>1275</v>
      </c>
      <c r="B277" t="str">
        <f>IF(ISBLANK(Table1[[#This Row],[order_id]]),"",IF(LEFT(Table1[[#This Row],[order_id]],3)="ORD",Table1[[#This Row],[order_id]],"ORD-" &amp; Table1[[#This Row],[order_id]]))</f>
        <v>ORD-1275</v>
      </c>
      <c r="C277" t="s">
        <v>655</v>
      </c>
      <c r="D277" s="1">
        <f>IFERROR(DATEVALUE(Table1[[#This Row],[order_date]]),"")</f>
        <v>45630</v>
      </c>
      <c r="F277" t="str">
        <f>IF(ISBLANK(Table1[[#This Row],[customer_name]]),"Unknown Customer",PROPER(SUBSTITUTE(Table1[[#This Row],[customer_name]],"Cust.","Customer")))</f>
        <v>Unknown Customer</v>
      </c>
      <c r="G277" t="s">
        <v>45</v>
      </c>
      <c r="H277" t="str">
        <f>IFERROR(_xlfn.XLOOKUP(Table1[[#This Row],[region]],Mappings!$C$3:$C$8,Mappings!$D$3:$D$8,,0,1),"Unknown")</f>
        <v>USA</v>
      </c>
      <c r="I277" t="s">
        <v>68</v>
      </c>
      <c r="J277" t="str">
        <f>IFERROR(_xlfn.XLOOKUP(Table1[[#This Row],[sales_channel]],Table4[Original],Table4[Clean],,0,1),"Unknown")</f>
        <v>Online</v>
      </c>
      <c r="L277" t="str">
        <f>IFERROR(_xlfn.XLOOKUP(Table1[[#This Row],[product]],Table3[Original],Table3[Product_clean],,0,1),"Unknown")</f>
        <v>Unknown</v>
      </c>
      <c r="M277" s="6" t="s">
        <v>83</v>
      </c>
      <c r="N277">
        <f>IF(ISNUMBER(Table1[[#This Row],[quantity]]),Table1[[#This Row],[quantity]],IFERROR(VLOOKUP(Table1[[#This Row],[quantity]],Table5[#All],2,FALSE),"Unknown"))</f>
        <v>2</v>
      </c>
      <c r="O277" t="s">
        <v>656</v>
      </c>
      <c r="P277">
        <f>IFERROR(VALUE(SUBSTITUTE(SUBSTITUTE(SUBSTITUTE(Table1[[#This Row],[revenue]],"EUR",""),"$",""),".",",")),"")</f>
        <v>880.49</v>
      </c>
      <c r="Q277" t="s">
        <v>58</v>
      </c>
      <c r="R277" t="str">
        <f>IF(OR(Table1[[#This Row],[currency]]="EUR",Table1[[#This Row],[currency]]="€"),"EUR",IF(OR(Table1[[#This Row],[currency]]="USD",Table1[[#This Row],[currency]]="$"),"USD","Unknown"))</f>
        <v>USD</v>
      </c>
      <c r="S277" t="s">
        <v>30</v>
      </c>
      <c r="T277" t="str">
        <f>IFERROR(_xlfn.XLOOKUP(Table1[[#This Row],[order_status]],Table8[Original],Table8[Clean],,0,1),"Unknown")</f>
        <v>Delivered</v>
      </c>
      <c r="U277">
        <v>3</v>
      </c>
      <c r="V277">
        <f>IF(ISNUMBER(Table1[[#This Row],[delivery_days]]),Table1[[#This Row],[delivery_days]],IFERROR(_xlfn.XLOOKUP(Table1[[#This Row],[delivery_days]],Table57[Original],Table57[Clean],,0,1),"Unknown"))</f>
        <v>3</v>
      </c>
    </row>
    <row r="278" spans="1:23" x14ac:dyDescent="0.3">
      <c r="A278">
        <v>1276</v>
      </c>
      <c r="B278" t="str">
        <f>IF(ISBLANK(Table1[[#This Row],[order_id]]),"",IF(LEFT(Table1[[#This Row],[order_id]],3)="ORD",Table1[[#This Row],[order_id]],"ORD-" &amp; Table1[[#This Row],[order_id]]))</f>
        <v>ORD-1276</v>
      </c>
      <c r="C278" t="s">
        <v>657</v>
      </c>
      <c r="D278" s="1">
        <f>IFERROR(DATEVALUE(Table1[[#This Row],[order_date]]),"")</f>
        <v>45510</v>
      </c>
      <c r="E278" t="s">
        <v>658</v>
      </c>
      <c r="F278" t="str">
        <f>IF(ISBLANK(Table1[[#This Row],[customer_name]]),"Unknown Customer",PROPER(SUBSTITUTE(Table1[[#This Row],[customer_name]],"Cust.","Customer")))</f>
        <v>Customer 276</v>
      </c>
      <c r="G278" t="s">
        <v>54</v>
      </c>
      <c r="H278" t="str">
        <f>IFERROR(_xlfn.XLOOKUP(Table1[[#This Row],[region]],Mappings!$C$3:$C$8,Mappings!$D$3:$D$8,,0,1),"Unknown")</f>
        <v>USA</v>
      </c>
      <c r="I278" t="s">
        <v>27</v>
      </c>
      <c r="J278" t="str">
        <f>IFERROR(_xlfn.XLOOKUP(Table1[[#This Row],[sales_channel]],Table4[Original],Table4[Clean],,0,1),"Unknown")</f>
        <v>Online</v>
      </c>
      <c r="K278" t="s">
        <v>15</v>
      </c>
      <c r="L278" t="str">
        <f>IFERROR(_xlfn.XLOOKUP(Table1[[#This Row],[product]],Table3[Original],Table3[Product_clean],,0,1),"Unknown")</f>
        <v>Tablet</v>
      </c>
      <c r="M278" s="6">
        <v>3</v>
      </c>
      <c r="N278">
        <f>IF(ISNUMBER(Table1[[#This Row],[quantity]]),Table1[[#This Row],[quantity]],IFERROR(VLOOKUP(Table1[[#This Row],[quantity]],Table5[#All],2,FALSE),"Unknown"))</f>
        <v>3</v>
      </c>
      <c r="P278" t="str">
        <f>IFERROR(VALUE(SUBSTITUTE(SUBSTITUTE(SUBSTITUTE(Table1[[#This Row],[revenue]],"EUR",""),"$",""),".",",")),"")</f>
        <v/>
      </c>
      <c r="Q278" t="s">
        <v>17</v>
      </c>
      <c r="R278" t="str">
        <f>IF(OR(Table1[[#This Row],[currency]]="EUR",Table1[[#This Row],[currency]]="€"),"EUR",IF(OR(Table1[[#This Row],[currency]]="USD",Table1[[#This Row],[currency]]="$"),"USD","Unknown"))</f>
        <v>EUR</v>
      </c>
      <c r="S278" t="s">
        <v>47</v>
      </c>
      <c r="T278" t="str">
        <f>IFERROR(_xlfn.XLOOKUP(Table1[[#This Row],[order_status]],Table8[Original],Table8[Clean],,0,1),"Unknown")</f>
        <v>Returned</v>
      </c>
      <c r="U278">
        <v>1</v>
      </c>
      <c r="V278">
        <f>IF(ISNUMBER(Table1[[#This Row],[delivery_days]]),Table1[[#This Row],[delivery_days]],IFERROR(_xlfn.XLOOKUP(Table1[[#This Row],[delivery_days]],Table57[Original],Table57[Clean],,0,1),"Unknown"))</f>
        <v>1</v>
      </c>
      <c r="W278" t="s">
        <v>24</v>
      </c>
    </row>
    <row r="279" spans="1:23" x14ac:dyDescent="0.3">
      <c r="B279" t="str">
        <f>IF(ISBLANK(Table1[[#This Row],[order_id]]),"",IF(LEFT(Table1[[#This Row],[order_id]],3)="ORD",Table1[[#This Row],[order_id]],"ORD-" &amp; Table1[[#This Row],[order_id]]))</f>
        <v/>
      </c>
      <c r="C279" t="s">
        <v>659</v>
      </c>
      <c r="D279" s="1">
        <f>IFERROR(DATEVALUE(Table1[[#This Row],[order_date]]),"")</f>
        <v>45779</v>
      </c>
      <c r="E279" t="s">
        <v>660</v>
      </c>
      <c r="F279" t="str">
        <f>IF(ISBLANK(Table1[[#This Row],[customer_name]]),"Unknown Customer",PROPER(SUBSTITUTE(Table1[[#This Row],[customer_name]],"Cust.","Customer")))</f>
        <v>Customer 277</v>
      </c>
      <c r="H279" t="str">
        <f>IFERROR(_xlfn.XLOOKUP(Table1[[#This Row],[region]],Mappings!$C$3:$C$8,Mappings!$D$3:$D$8,,0,1),"Unknown")</f>
        <v>Unknown</v>
      </c>
      <c r="I279" t="s">
        <v>68</v>
      </c>
      <c r="J279" t="str">
        <f>IFERROR(_xlfn.XLOOKUP(Table1[[#This Row],[sales_channel]],Table4[Original],Table4[Clean],,0,1),"Unknown")</f>
        <v>Online</v>
      </c>
      <c r="K279" t="s">
        <v>41</v>
      </c>
      <c r="L279" t="str">
        <f>IFERROR(_xlfn.XLOOKUP(Table1[[#This Row],[product]],Table3[Original],Table3[Product_clean],,0,1),"Unknown")</f>
        <v>Phone</v>
      </c>
      <c r="M279" s="6">
        <v>2</v>
      </c>
      <c r="N279">
        <f>IF(ISNUMBER(Table1[[#This Row],[quantity]]),Table1[[#This Row],[quantity]],IFERROR(VLOOKUP(Table1[[#This Row],[quantity]],Table5[#All],2,FALSE),"Unknown"))</f>
        <v>2</v>
      </c>
      <c r="P279" t="str">
        <f>IFERROR(VALUE(SUBSTITUTE(SUBSTITUTE(SUBSTITUTE(Table1[[#This Row],[revenue]],"EUR",""),"$",""),".",",")),"")</f>
        <v/>
      </c>
      <c r="Q279" t="s">
        <v>55</v>
      </c>
      <c r="R279" t="str">
        <f>IF(OR(Table1[[#This Row],[currency]]="EUR",Table1[[#This Row],[currency]]="€"),"EUR",IF(OR(Table1[[#This Row],[currency]]="USD",Table1[[#This Row],[currency]]="$"),"USD","Unknown"))</f>
        <v>EUR</v>
      </c>
      <c r="S279" t="s">
        <v>47</v>
      </c>
      <c r="T279" t="str">
        <f>IFERROR(_xlfn.XLOOKUP(Table1[[#This Row],[order_status]],Table8[Original],Table8[Clean],,0,1),"Unknown")</f>
        <v>Returned</v>
      </c>
      <c r="U279">
        <v>3</v>
      </c>
      <c r="V279">
        <f>IF(ISNUMBER(Table1[[#This Row],[delivery_days]]),Table1[[#This Row],[delivery_days]],IFERROR(_xlfn.XLOOKUP(Table1[[#This Row],[delivery_days]],Table57[Original],Table57[Clean],,0,1),"Unknown"))</f>
        <v>3</v>
      </c>
      <c r="W279" t="s">
        <v>37</v>
      </c>
    </row>
    <row r="280" spans="1:23" x14ac:dyDescent="0.3">
      <c r="A280" t="s">
        <v>661</v>
      </c>
      <c r="B280" t="str">
        <f>IF(ISBLANK(Table1[[#This Row],[order_id]]),"",IF(LEFT(Table1[[#This Row],[order_id]],3)="ORD",Table1[[#This Row],[order_id]],"ORD-" &amp; Table1[[#This Row],[order_id]]))</f>
        <v>ORD-1278</v>
      </c>
      <c r="C280" t="s">
        <v>662</v>
      </c>
      <c r="D280" s="1" t="str">
        <f>IFERROR(DATEVALUE(Table1[[#This Row],[order_date]]),"")</f>
        <v/>
      </c>
      <c r="E280" t="s">
        <v>663</v>
      </c>
      <c r="F280" t="str">
        <f>IF(ISBLANK(Table1[[#This Row],[customer_name]]),"Unknown Customer",PROPER(SUBSTITUTE(Table1[[#This Row],[customer_name]],"Cust.","Customer")))</f>
        <v>Customer 278</v>
      </c>
      <c r="H280" t="str">
        <f>IFERROR(_xlfn.XLOOKUP(Table1[[#This Row],[region]],Mappings!$C$3:$C$8,Mappings!$D$3:$D$8,,0,1),"Unknown")</f>
        <v>Unknown</v>
      </c>
      <c r="I280" t="s">
        <v>50</v>
      </c>
      <c r="J280" t="str">
        <f>IFERROR(_xlfn.XLOOKUP(Table1[[#This Row],[sales_channel]],Table4[Original],Table4[Clean],,0,1),"Unknown")</f>
        <v>Mobile</v>
      </c>
      <c r="K280" t="s">
        <v>33</v>
      </c>
      <c r="L280" t="str">
        <f>IFERROR(_xlfn.XLOOKUP(Table1[[#This Row],[product]],Table3[Original],Table3[Product_clean],,0,1),"Unknown")</f>
        <v>Tablet</v>
      </c>
      <c r="M280" s="6">
        <v>1</v>
      </c>
      <c r="N280">
        <f>IF(ISNUMBER(Table1[[#This Row],[quantity]]),Table1[[#This Row],[quantity]],IFERROR(VLOOKUP(Table1[[#This Row],[quantity]],Table5[#All],2,FALSE),"Unknown"))</f>
        <v>1</v>
      </c>
      <c r="P280" t="str">
        <f>IFERROR(VALUE(SUBSTITUTE(SUBSTITUTE(SUBSTITUTE(Table1[[#This Row],[revenue]],"EUR",""),"$",""),".",",")),"")</f>
        <v/>
      </c>
      <c r="Q280" t="s">
        <v>58</v>
      </c>
      <c r="R280" t="str">
        <f>IF(OR(Table1[[#This Row],[currency]]="EUR",Table1[[#This Row],[currency]]="€"),"EUR",IF(OR(Table1[[#This Row],[currency]]="USD",Table1[[#This Row],[currency]]="$"),"USD","Unknown"))</f>
        <v>USD</v>
      </c>
      <c r="T280" t="str">
        <f>IFERROR(_xlfn.XLOOKUP(Table1[[#This Row],[order_status]],Table8[Original],Table8[Clean],,0,1),"Unknown")</f>
        <v>Unknown</v>
      </c>
      <c r="V280" t="str">
        <f>IF(ISNUMBER(Table1[[#This Row],[delivery_days]]),Table1[[#This Row],[delivery_days]],IFERROR(_xlfn.XLOOKUP(Table1[[#This Row],[delivery_days]],Table57[Original],Table57[Clean],,0,1),"Unknown"))</f>
        <v>Unknown</v>
      </c>
    </row>
    <row r="281" spans="1:23" x14ac:dyDescent="0.3">
      <c r="B281" t="str">
        <f>IF(ISBLANK(Table1[[#This Row],[order_id]]),"",IF(LEFT(Table1[[#This Row],[order_id]],3)="ORD",Table1[[#This Row],[order_id]],"ORD-" &amp; Table1[[#This Row],[order_id]]))</f>
        <v/>
      </c>
      <c r="C281" t="s">
        <v>664</v>
      </c>
      <c r="D281" s="1">
        <f>IFERROR(DATEVALUE(Table1[[#This Row],[order_date]]),"")</f>
        <v>45335</v>
      </c>
      <c r="E281" t="s">
        <v>665</v>
      </c>
      <c r="F281" t="str">
        <f>IF(ISBLANK(Table1[[#This Row],[customer_name]]),"Unknown Customer",PROPER(SUBSTITUTE(Table1[[#This Row],[customer_name]],"Cust.","Customer")))</f>
        <v>Customer 279</v>
      </c>
      <c r="H281" t="str">
        <f>IFERROR(_xlfn.XLOOKUP(Table1[[#This Row],[region]],Mappings!$C$3:$C$8,Mappings!$D$3:$D$8,,0,1),"Unknown")</f>
        <v>Unknown</v>
      </c>
      <c r="I281" t="s">
        <v>78</v>
      </c>
      <c r="J281" t="str">
        <f>IFERROR(_xlfn.XLOOKUP(Table1[[#This Row],[sales_channel]],Table4[Original],Table4[Clean],,0,1),"Unknown")</f>
        <v>Mobile</v>
      </c>
      <c r="L281" t="str">
        <f>IFERROR(_xlfn.XLOOKUP(Table1[[#This Row],[product]],Table3[Original],Table3[Product_clean],,0,1),"Unknown")</f>
        <v>Unknown</v>
      </c>
      <c r="M281" s="6"/>
      <c r="N281" t="str">
        <f>IF(ISNUMBER(Table1[[#This Row],[quantity]]),Table1[[#This Row],[quantity]],IFERROR(VLOOKUP(Table1[[#This Row],[quantity]],Table5[#All],2,FALSE),"Unknown"))</f>
        <v>Unknown</v>
      </c>
      <c r="P281" t="str">
        <f>IFERROR(VALUE(SUBSTITUTE(SUBSTITUTE(SUBSTITUTE(Table1[[#This Row],[revenue]],"EUR",""),"$",""),".",",")),"")</f>
        <v/>
      </c>
      <c r="Q281" t="s">
        <v>22</v>
      </c>
      <c r="R281" t="str">
        <f>IF(OR(Table1[[#This Row],[currency]]="EUR",Table1[[#This Row],[currency]]="€"),"EUR",IF(OR(Table1[[#This Row],[currency]]="USD",Table1[[#This Row],[currency]]="$"),"USD","Unknown"))</f>
        <v>USD</v>
      </c>
      <c r="S281" t="s">
        <v>18</v>
      </c>
      <c r="T281" t="str">
        <f>IFERROR(_xlfn.XLOOKUP(Table1[[#This Row],[order_status]],Table8[Original],Table8[Clean],,0,1),"Unknown")</f>
        <v>Pending</v>
      </c>
      <c r="V281" t="str">
        <f>IF(ISNUMBER(Table1[[#This Row],[delivery_days]]),Table1[[#This Row],[delivery_days]],IFERROR(_xlfn.XLOOKUP(Table1[[#This Row],[delivery_days]],Table57[Original],Table57[Clean],,0,1),"Unknown"))</f>
        <v>Unknown</v>
      </c>
    </row>
    <row r="282" spans="1:23" x14ac:dyDescent="0.3">
      <c r="A282" t="s">
        <v>666</v>
      </c>
      <c r="B282" t="str">
        <f>IF(ISBLANK(Table1[[#This Row],[order_id]]),"",IF(LEFT(Table1[[#This Row],[order_id]],3)="ORD",Table1[[#This Row],[order_id]],"ORD-" &amp; Table1[[#This Row],[order_id]]))</f>
        <v>ORD-1280</v>
      </c>
      <c r="C282" t="s">
        <v>667</v>
      </c>
      <c r="D282" s="1">
        <f>IFERROR(DATEVALUE(Table1[[#This Row],[order_date]]),"")</f>
        <v>45585</v>
      </c>
      <c r="F282" t="str">
        <f>IF(ISBLANK(Table1[[#This Row],[customer_name]]),"Unknown Customer",PROPER(SUBSTITUTE(Table1[[#This Row],[customer_name]],"Cust.","Customer")))</f>
        <v>Unknown Customer</v>
      </c>
      <c r="H282" t="str">
        <f>IFERROR(_xlfn.XLOOKUP(Table1[[#This Row],[region]],Mappings!$C$3:$C$8,Mappings!$D$3:$D$8,,0,1),"Unknown")</f>
        <v>Unknown</v>
      </c>
      <c r="J282" t="str">
        <f>IFERROR(_xlfn.XLOOKUP(Table1[[#This Row],[sales_channel]],Table4[Original],Table4[Clean],,0,1),"Unknown")</f>
        <v>Unknown</v>
      </c>
      <c r="K282" t="s">
        <v>51</v>
      </c>
      <c r="L282" t="str">
        <f>IFERROR(_xlfn.XLOOKUP(Table1[[#This Row],[product]],Table3[Original],Table3[Product_clean],,0,1),"Unknown")</f>
        <v>Laptop</v>
      </c>
      <c r="M282" s="6"/>
      <c r="N282" t="str">
        <f>IF(ISNUMBER(Table1[[#This Row],[quantity]]),Table1[[#This Row],[quantity]],IFERROR(VLOOKUP(Table1[[#This Row],[quantity]],Table5[#All],2,FALSE),"Unknown"))</f>
        <v>Unknown</v>
      </c>
      <c r="P282" t="str">
        <f>IFERROR(VALUE(SUBSTITUTE(SUBSTITUTE(SUBSTITUTE(Table1[[#This Row],[revenue]],"EUR",""),"$",""),".",",")),"")</f>
        <v/>
      </c>
      <c r="R282" t="str">
        <f>IF(OR(Table1[[#This Row],[currency]]="EUR",Table1[[#This Row],[currency]]="€"),"EUR",IF(OR(Table1[[#This Row],[currency]]="USD",Table1[[#This Row],[currency]]="$"),"USD","Unknown"))</f>
        <v>Unknown</v>
      </c>
      <c r="S282" t="s">
        <v>18</v>
      </c>
      <c r="T282" t="str">
        <f>IFERROR(_xlfn.XLOOKUP(Table1[[#This Row],[order_status]],Table8[Original],Table8[Clean],,0,1),"Unknown")</f>
        <v>Pending</v>
      </c>
      <c r="U282" t="s">
        <v>36</v>
      </c>
      <c r="V282">
        <f>IF(ISNUMBER(Table1[[#This Row],[delivery_days]]),Table1[[#This Row],[delivery_days]],IFERROR(_xlfn.XLOOKUP(Table1[[#This Row],[delivery_days]],Table57[Original],Table57[Clean],,0,1),"Unknown"))</f>
        <v>5</v>
      </c>
      <c r="W282" t="s">
        <v>37</v>
      </c>
    </row>
    <row r="283" spans="1:23" x14ac:dyDescent="0.3">
      <c r="A283">
        <v>1281</v>
      </c>
      <c r="B283" t="str">
        <f>IF(ISBLANK(Table1[[#This Row],[order_id]]),"",IF(LEFT(Table1[[#This Row],[order_id]],3)="ORD",Table1[[#This Row],[order_id]],"ORD-" &amp; Table1[[#This Row],[order_id]]))</f>
        <v>ORD-1281</v>
      </c>
      <c r="C283" t="s">
        <v>668</v>
      </c>
      <c r="D283" s="1">
        <f>IFERROR(DATEVALUE(Table1[[#This Row],[order_date]]),"")</f>
        <v>45353</v>
      </c>
      <c r="E283" t="s">
        <v>669</v>
      </c>
      <c r="F283" t="str">
        <f>IF(ISBLANK(Table1[[#This Row],[customer_name]]),"Unknown Customer",PROPER(SUBSTITUTE(Table1[[#This Row],[customer_name]],"Cust.","Customer")))</f>
        <v>Customer 281</v>
      </c>
      <c r="H283" t="str">
        <f>IFERROR(_xlfn.XLOOKUP(Table1[[#This Row],[region]],Mappings!$C$3:$C$8,Mappings!$D$3:$D$8,,0,1),"Unknown")</f>
        <v>Unknown</v>
      </c>
      <c r="I283" t="s">
        <v>27</v>
      </c>
      <c r="J283" t="str">
        <f>IFERROR(_xlfn.XLOOKUP(Table1[[#This Row],[sales_channel]],Table4[Original],Table4[Clean],,0,1),"Unknown")</f>
        <v>Online</v>
      </c>
      <c r="K283" t="s">
        <v>28</v>
      </c>
      <c r="L283" t="str">
        <f>IFERROR(_xlfn.XLOOKUP(Table1[[#This Row],[product]],Table3[Original],Table3[Product_clean],,0,1),"Unknown")</f>
        <v>Laptop</v>
      </c>
      <c r="M283" s="6">
        <v>1</v>
      </c>
      <c r="N283">
        <f>IF(ISNUMBER(Table1[[#This Row],[quantity]]),Table1[[#This Row],[quantity]],IFERROR(VLOOKUP(Table1[[#This Row],[quantity]],Table5[#All],2,FALSE),"Unknown"))</f>
        <v>1</v>
      </c>
      <c r="P283" t="str">
        <f>IFERROR(VALUE(SUBSTITUTE(SUBSTITUTE(SUBSTITUTE(Table1[[#This Row],[revenue]],"EUR",""),"$",""),".",",")),"")</f>
        <v/>
      </c>
      <c r="Q283" t="s">
        <v>22</v>
      </c>
      <c r="R283" t="str">
        <f>IF(OR(Table1[[#This Row],[currency]]="EUR",Table1[[#This Row],[currency]]="€"),"EUR",IF(OR(Table1[[#This Row],[currency]]="USD",Table1[[#This Row],[currency]]="$"),"USD","Unknown"))</f>
        <v>USD</v>
      </c>
      <c r="S283" t="s">
        <v>30</v>
      </c>
      <c r="T283" t="str">
        <f>IFERROR(_xlfn.XLOOKUP(Table1[[#This Row],[order_status]],Table8[Original],Table8[Clean],,0,1),"Unknown")</f>
        <v>Delivered</v>
      </c>
      <c r="V283" t="str">
        <f>IF(ISNUMBER(Table1[[#This Row],[delivery_days]]),Table1[[#This Row],[delivery_days]],IFERROR(_xlfn.XLOOKUP(Table1[[#This Row],[delivery_days]],Table57[Original],Table57[Clean],,0,1),"Unknown"))</f>
        <v>Unknown</v>
      </c>
    </row>
    <row r="284" spans="1:23" x14ac:dyDescent="0.3">
      <c r="B284" t="str">
        <f>IF(ISBLANK(Table1[[#This Row],[order_id]]),"",IF(LEFT(Table1[[#This Row],[order_id]],3)="ORD",Table1[[#This Row],[order_id]],"ORD-" &amp; Table1[[#This Row],[order_id]]))</f>
        <v/>
      </c>
      <c r="C284" t="s">
        <v>670</v>
      </c>
      <c r="D284" s="1" t="str">
        <f>IFERROR(DATEVALUE(Table1[[#This Row],[order_date]]),"")</f>
        <v/>
      </c>
      <c r="E284" t="s">
        <v>671</v>
      </c>
      <c r="F284" t="str">
        <f>IF(ISBLANK(Table1[[#This Row],[customer_name]]),"Unknown Customer",PROPER(SUBSTITUTE(Table1[[#This Row],[customer_name]],"Cust.","Customer")))</f>
        <v>Customer 282</v>
      </c>
      <c r="H284" t="str">
        <f>IFERROR(_xlfn.XLOOKUP(Table1[[#This Row],[region]],Mappings!$C$3:$C$8,Mappings!$D$3:$D$8,,0,1),"Unknown")</f>
        <v>Unknown</v>
      </c>
      <c r="I284" t="s">
        <v>14</v>
      </c>
      <c r="J284" t="str">
        <f>IFERROR(_xlfn.XLOOKUP(Table1[[#This Row],[sales_channel]],Table4[Original],Table4[Clean],,0,1),"Unknown")</f>
        <v>Online</v>
      </c>
      <c r="K284" t="s">
        <v>51</v>
      </c>
      <c r="L284" t="str">
        <f>IFERROR(_xlfn.XLOOKUP(Table1[[#This Row],[product]],Table3[Original],Table3[Product_clean],,0,1),"Unknown")</f>
        <v>Laptop</v>
      </c>
      <c r="M284" s="6" t="s">
        <v>83</v>
      </c>
      <c r="N284">
        <f>IF(ISNUMBER(Table1[[#This Row],[quantity]]),Table1[[#This Row],[quantity]],IFERROR(VLOOKUP(Table1[[#This Row],[quantity]],Table5[#All],2,FALSE),"Unknown"))</f>
        <v>2</v>
      </c>
      <c r="O284" t="s">
        <v>672</v>
      </c>
      <c r="P284">
        <f>IFERROR(VALUE(SUBSTITUTE(SUBSTITUTE(SUBSTITUTE(Table1[[#This Row],[revenue]],"EUR",""),"$",""),".",",")),"")</f>
        <v>2991.94</v>
      </c>
      <c r="R284" t="str">
        <f>IF(OR(Table1[[#This Row],[currency]]="EUR",Table1[[#This Row],[currency]]="€"),"EUR",IF(OR(Table1[[#This Row],[currency]]="USD",Table1[[#This Row],[currency]]="$"),"USD","Unknown"))</f>
        <v>Unknown</v>
      </c>
      <c r="S284" t="s">
        <v>47</v>
      </c>
      <c r="T284" t="str">
        <f>IFERROR(_xlfn.XLOOKUP(Table1[[#This Row],[order_status]],Table8[Original],Table8[Clean],,0,1),"Unknown")</f>
        <v>Returned</v>
      </c>
      <c r="U284" t="s">
        <v>36</v>
      </c>
      <c r="V284">
        <f>IF(ISNUMBER(Table1[[#This Row],[delivery_days]]),Table1[[#This Row],[delivery_days]],IFERROR(_xlfn.XLOOKUP(Table1[[#This Row],[delivery_days]],Table57[Original],Table57[Clean],,0,1),"Unknown"))</f>
        <v>5</v>
      </c>
      <c r="W284" t="s">
        <v>24</v>
      </c>
    </row>
    <row r="285" spans="1:23" x14ac:dyDescent="0.3">
      <c r="B285" t="str">
        <f>IF(ISBLANK(Table1[[#This Row],[order_id]]),"",IF(LEFT(Table1[[#This Row],[order_id]],3)="ORD",Table1[[#This Row],[order_id]],"ORD-" &amp; Table1[[#This Row],[order_id]]))</f>
        <v/>
      </c>
      <c r="D285" s="1" t="str">
        <f>IFERROR(DATEVALUE(Table1[[#This Row],[order_date]]),"")</f>
        <v/>
      </c>
      <c r="E285" t="s">
        <v>673</v>
      </c>
      <c r="F285" t="str">
        <f>IF(ISBLANK(Table1[[#This Row],[customer_name]]),"Unknown Customer",PROPER(SUBSTITUTE(Table1[[#This Row],[customer_name]],"Cust.","Customer")))</f>
        <v>Customer 283</v>
      </c>
      <c r="G285" t="s">
        <v>32</v>
      </c>
      <c r="H285" t="str">
        <f>IFERROR(_xlfn.XLOOKUP(Table1[[#This Row],[region]],Mappings!$C$3:$C$8,Mappings!$D$3:$D$8,,0,1),"Unknown")</f>
        <v>Europe</v>
      </c>
      <c r="I285" t="s">
        <v>27</v>
      </c>
      <c r="J285" t="str">
        <f>IFERROR(_xlfn.XLOOKUP(Table1[[#This Row],[sales_channel]],Table4[Original],Table4[Clean],,0,1),"Unknown")</f>
        <v>Online</v>
      </c>
      <c r="K285" t="s">
        <v>28</v>
      </c>
      <c r="L285" t="str">
        <f>IFERROR(_xlfn.XLOOKUP(Table1[[#This Row],[product]],Table3[Original],Table3[Product_clean],,0,1),"Unknown")</f>
        <v>Laptop</v>
      </c>
      <c r="M285" s="6"/>
      <c r="N285" t="str">
        <f>IF(ISNUMBER(Table1[[#This Row],[quantity]]),Table1[[#This Row],[quantity]],IFERROR(VLOOKUP(Table1[[#This Row],[quantity]],Table5[#All],2,FALSE),"Unknown"))</f>
        <v>Unknown</v>
      </c>
      <c r="O285">
        <v>1583.08</v>
      </c>
      <c r="P285">
        <f>IFERROR(VALUE(SUBSTITUTE(SUBSTITUTE(SUBSTITUTE(Table1[[#This Row],[revenue]],"EUR",""),"$",""),".",",")),"")</f>
        <v>1583.08</v>
      </c>
      <c r="R285" t="str">
        <f>IF(OR(Table1[[#This Row],[currency]]="EUR",Table1[[#This Row],[currency]]="€"),"EUR",IF(OR(Table1[[#This Row],[currency]]="USD",Table1[[#This Row],[currency]]="$"),"USD","Unknown"))</f>
        <v>Unknown</v>
      </c>
      <c r="S285" t="s">
        <v>18</v>
      </c>
      <c r="T285" t="str">
        <f>IFERROR(_xlfn.XLOOKUP(Table1[[#This Row],[order_status]],Table8[Original],Table8[Clean],,0,1),"Unknown")</f>
        <v>Pending</v>
      </c>
      <c r="U285">
        <v>1</v>
      </c>
      <c r="V285">
        <f>IF(ISNUMBER(Table1[[#This Row],[delivery_days]]),Table1[[#This Row],[delivery_days]],IFERROR(_xlfn.XLOOKUP(Table1[[#This Row],[delivery_days]],Table57[Original],Table57[Clean],,0,1),"Unknown"))</f>
        <v>1</v>
      </c>
    </row>
    <row r="286" spans="1:23" x14ac:dyDescent="0.3">
      <c r="B286" t="str">
        <f>IF(ISBLANK(Table1[[#This Row],[order_id]]),"",IF(LEFT(Table1[[#This Row],[order_id]],3)="ORD",Table1[[#This Row],[order_id]],"ORD-" &amp; Table1[[#This Row],[order_id]]))</f>
        <v/>
      </c>
      <c r="C286" t="s">
        <v>139</v>
      </c>
      <c r="D286" s="1" t="str">
        <f>IFERROR(DATEVALUE(Table1[[#This Row],[order_date]]),"")</f>
        <v/>
      </c>
      <c r="F286" t="str">
        <f>IF(ISBLANK(Table1[[#This Row],[customer_name]]),"Unknown Customer",PROPER(SUBSTITUTE(Table1[[#This Row],[customer_name]],"Cust.","Customer")))</f>
        <v>Unknown Customer</v>
      </c>
      <c r="G286" t="s">
        <v>26</v>
      </c>
      <c r="H286" t="str">
        <f>IFERROR(_xlfn.XLOOKUP(Table1[[#This Row],[region]],Mappings!$C$3:$C$8,Mappings!$D$3:$D$8,,0,1),"Unknown")</f>
        <v>Asia</v>
      </c>
      <c r="I286" t="s">
        <v>78</v>
      </c>
      <c r="J286" t="str">
        <f>IFERROR(_xlfn.XLOOKUP(Table1[[#This Row],[sales_channel]],Table4[Original],Table4[Clean],,0,1),"Unknown")</f>
        <v>Mobile</v>
      </c>
      <c r="K286" t="s">
        <v>15</v>
      </c>
      <c r="L286" t="str">
        <f>IFERROR(_xlfn.XLOOKUP(Table1[[#This Row],[product]],Table3[Original],Table3[Product_clean],,0,1),"Unknown")</f>
        <v>Tablet</v>
      </c>
      <c r="M286" s="6" t="s">
        <v>83</v>
      </c>
      <c r="N286">
        <f>IF(ISNUMBER(Table1[[#This Row],[quantity]]),Table1[[#This Row],[quantity]],IFERROR(VLOOKUP(Table1[[#This Row],[quantity]],Table5[#All],2,FALSE),"Unknown"))</f>
        <v>2</v>
      </c>
      <c r="O286" t="s">
        <v>674</v>
      </c>
      <c r="P286">
        <f>IFERROR(VALUE(SUBSTITUTE(SUBSTITUTE(SUBSTITUTE(Table1[[#This Row],[revenue]],"EUR",""),"$",""),".",",")),"")</f>
        <v>2349.66</v>
      </c>
      <c r="R286" t="str">
        <f>IF(OR(Table1[[#This Row],[currency]]="EUR",Table1[[#This Row],[currency]]="€"),"EUR",IF(OR(Table1[[#This Row],[currency]]="USD",Table1[[#This Row],[currency]]="$"),"USD","Unknown"))</f>
        <v>Unknown</v>
      </c>
      <c r="S286" t="s">
        <v>18</v>
      </c>
      <c r="T286" t="str">
        <f>IFERROR(_xlfn.XLOOKUP(Table1[[#This Row],[order_status]],Table8[Original],Table8[Clean],,0,1),"Unknown")</f>
        <v>Pending</v>
      </c>
      <c r="U286">
        <v>5</v>
      </c>
      <c r="V286">
        <f>IF(ISNUMBER(Table1[[#This Row],[delivery_days]]),Table1[[#This Row],[delivery_days]],IFERROR(_xlfn.XLOOKUP(Table1[[#This Row],[delivery_days]],Table57[Original],Table57[Clean],,0,1),"Unknown"))</f>
        <v>5</v>
      </c>
    </row>
    <row r="287" spans="1:23" x14ac:dyDescent="0.3">
      <c r="B287" t="str">
        <f>IF(ISBLANK(Table1[[#This Row],[order_id]]),"",IF(LEFT(Table1[[#This Row],[order_id]],3)="ORD",Table1[[#This Row],[order_id]],"ORD-" &amp; Table1[[#This Row],[order_id]]))</f>
        <v/>
      </c>
      <c r="D287" s="1" t="str">
        <f>IFERROR(DATEVALUE(Table1[[#This Row],[order_date]]),"")</f>
        <v/>
      </c>
      <c r="E287" t="s">
        <v>675</v>
      </c>
      <c r="F287" t="str">
        <f>IF(ISBLANK(Table1[[#This Row],[customer_name]]),"Unknown Customer",PROPER(SUBSTITUTE(Table1[[#This Row],[customer_name]],"Cust.","Customer")))</f>
        <v>Customer 285</v>
      </c>
      <c r="G287" t="s">
        <v>32</v>
      </c>
      <c r="H287" t="str">
        <f>IFERROR(_xlfn.XLOOKUP(Table1[[#This Row],[region]],Mappings!$C$3:$C$8,Mappings!$D$3:$D$8,,0,1),"Unknown")</f>
        <v>Europe</v>
      </c>
      <c r="I287" t="s">
        <v>50</v>
      </c>
      <c r="J287" t="str">
        <f>IFERROR(_xlfn.XLOOKUP(Table1[[#This Row],[sales_channel]],Table4[Original],Table4[Clean],,0,1),"Unknown")</f>
        <v>Mobile</v>
      </c>
      <c r="K287" t="s">
        <v>15</v>
      </c>
      <c r="L287" t="str">
        <f>IFERROR(_xlfn.XLOOKUP(Table1[[#This Row],[product]],Table3[Original],Table3[Product_clean],,0,1),"Unknown")</f>
        <v>Tablet</v>
      </c>
      <c r="M287" s="6">
        <v>2</v>
      </c>
      <c r="N287">
        <f>IF(ISNUMBER(Table1[[#This Row],[quantity]]),Table1[[#This Row],[quantity]],IFERROR(VLOOKUP(Table1[[#This Row],[quantity]],Table5[#All],2,FALSE),"Unknown"))</f>
        <v>2</v>
      </c>
      <c r="O287" t="s">
        <v>676</v>
      </c>
      <c r="P287">
        <f>IFERROR(VALUE(SUBSTITUTE(SUBSTITUTE(SUBSTITUTE(Table1[[#This Row],[revenue]],"EUR",""),"$",""),".",",")),"")</f>
        <v>862.47</v>
      </c>
      <c r="Q287" t="s">
        <v>17</v>
      </c>
      <c r="R287" t="str">
        <f>IF(OR(Table1[[#This Row],[currency]]="EUR",Table1[[#This Row],[currency]]="€"),"EUR",IF(OR(Table1[[#This Row],[currency]]="USD",Table1[[#This Row],[currency]]="$"),"USD","Unknown"))</f>
        <v>EUR</v>
      </c>
      <c r="T287" t="str">
        <f>IFERROR(_xlfn.XLOOKUP(Table1[[#This Row],[order_status]],Table8[Original],Table8[Clean],,0,1),"Unknown")</f>
        <v>Unknown</v>
      </c>
      <c r="U287">
        <v>5</v>
      </c>
      <c r="V287">
        <f>IF(ISNUMBER(Table1[[#This Row],[delivery_days]]),Table1[[#This Row],[delivery_days]],IFERROR(_xlfn.XLOOKUP(Table1[[#This Row],[delivery_days]],Table57[Original],Table57[Clean],,0,1),"Unknown"))</f>
        <v>5</v>
      </c>
      <c r="W287" t="s">
        <v>24</v>
      </c>
    </row>
    <row r="288" spans="1:23" x14ac:dyDescent="0.3">
      <c r="A288" t="s">
        <v>677</v>
      </c>
      <c r="B288" t="str">
        <f>IF(ISBLANK(Table1[[#This Row],[order_id]]),"",IF(LEFT(Table1[[#This Row],[order_id]],3)="ORD",Table1[[#This Row],[order_id]],"ORD-" &amp; Table1[[#This Row],[order_id]]))</f>
        <v>ORD-1286</v>
      </c>
      <c r="C288" t="s">
        <v>678</v>
      </c>
      <c r="D288" s="1">
        <f>IFERROR(DATEVALUE(Table1[[#This Row],[order_date]]),"")</f>
        <v>45542</v>
      </c>
      <c r="F288" t="str">
        <f>IF(ISBLANK(Table1[[#This Row],[customer_name]]),"Unknown Customer",PROPER(SUBSTITUTE(Table1[[#This Row],[customer_name]],"Cust.","Customer")))</f>
        <v>Unknown Customer</v>
      </c>
      <c r="H288" t="str">
        <f>IFERROR(_xlfn.XLOOKUP(Table1[[#This Row],[region]],Mappings!$C$3:$C$8,Mappings!$D$3:$D$8,,0,1),"Unknown")</f>
        <v>Unknown</v>
      </c>
      <c r="J288" t="str">
        <f>IFERROR(_xlfn.XLOOKUP(Table1[[#This Row],[sales_channel]],Table4[Original],Table4[Clean],,0,1),"Unknown")</f>
        <v>Unknown</v>
      </c>
      <c r="K288" t="s">
        <v>15</v>
      </c>
      <c r="L288" t="str">
        <f>IFERROR(_xlfn.XLOOKUP(Table1[[#This Row],[product]],Table3[Original],Table3[Product_clean],,0,1),"Unknown")</f>
        <v>Tablet</v>
      </c>
      <c r="M288" s="6">
        <v>1</v>
      </c>
      <c r="N288">
        <f>IF(ISNUMBER(Table1[[#This Row],[quantity]]),Table1[[#This Row],[quantity]],IFERROR(VLOOKUP(Table1[[#This Row],[quantity]],Table5[#All],2,FALSE),"Unknown"))</f>
        <v>1</v>
      </c>
      <c r="O288" t="s">
        <v>679</v>
      </c>
      <c r="P288">
        <f>IFERROR(VALUE(SUBSTITUTE(SUBSTITUTE(SUBSTITUTE(Table1[[#This Row],[revenue]],"EUR",""),"$",""),".",",")),"")</f>
        <v>109.69</v>
      </c>
      <c r="Q288" t="s">
        <v>58</v>
      </c>
      <c r="R288" t="str">
        <f>IF(OR(Table1[[#This Row],[currency]]="EUR",Table1[[#This Row],[currency]]="€"),"EUR",IF(OR(Table1[[#This Row],[currency]]="USD",Table1[[#This Row],[currency]]="$"),"USD","Unknown"))</f>
        <v>USD</v>
      </c>
      <c r="S288" t="s">
        <v>23</v>
      </c>
      <c r="T288" t="str">
        <f>IFERROR(_xlfn.XLOOKUP(Table1[[#This Row],[order_status]],Table8[Original],Table8[Clean],,0,1),"Unknown")</f>
        <v>Delivered</v>
      </c>
      <c r="U288">
        <v>3</v>
      </c>
      <c r="V288">
        <f>IF(ISNUMBER(Table1[[#This Row],[delivery_days]]),Table1[[#This Row],[delivery_days]],IFERROR(_xlfn.XLOOKUP(Table1[[#This Row],[delivery_days]],Table57[Original],Table57[Clean],,0,1),"Unknown"))</f>
        <v>3</v>
      </c>
    </row>
    <row r="289" spans="1:23" x14ac:dyDescent="0.3">
      <c r="B289" t="str">
        <f>IF(ISBLANK(Table1[[#This Row],[order_id]]),"",IF(LEFT(Table1[[#This Row],[order_id]],3)="ORD",Table1[[#This Row],[order_id]],"ORD-" &amp; Table1[[#This Row],[order_id]]))</f>
        <v/>
      </c>
      <c r="D289" s="1" t="str">
        <f>IFERROR(DATEVALUE(Table1[[#This Row],[order_date]]),"")</f>
        <v/>
      </c>
      <c r="E289" t="s">
        <v>680</v>
      </c>
      <c r="F289" t="str">
        <f>IF(ISBLANK(Table1[[#This Row],[customer_name]]),"Unknown Customer",PROPER(SUBSTITUTE(Table1[[#This Row],[customer_name]],"Cust.","Customer")))</f>
        <v>Customer 287</v>
      </c>
      <c r="G289" t="s">
        <v>54</v>
      </c>
      <c r="H289" t="str">
        <f>IFERROR(_xlfn.XLOOKUP(Table1[[#This Row],[region]],Mappings!$C$3:$C$8,Mappings!$D$3:$D$8,,0,1),"Unknown")</f>
        <v>USA</v>
      </c>
      <c r="I289" t="s">
        <v>78</v>
      </c>
      <c r="J289" t="str">
        <f>IFERROR(_xlfn.XLOOKUP(Table1[[#This Row],[sales_channel]],Table4[Original],Table4[Clean],,0,1),"Unknown")</f>
        <v>Mobile</v>
      </c>
      <c r="K289" t="s">
        <v>28</v>
      </c>
      <c r="L289" t="str">
        <f>IFERROR(_xlfn.XLOOKUP(Table1[[#This Row],[product]],Table3[Original],Table3[Product_clean],,0,1),"Unknown")</f>
        <v>Laptop</v>
      </c>
      <c r="M289" s="6" t="s">
        <v>83</v>
      </c>
      <c r="N289">
        <f>IF(ISNUMBER(Table1[[#This Row],[quantity]]),Table1[[#This Row],[quantity]],IFERROR(VLOOKUP(Table1[[#This Row],[quantity]],Table5[#All],2,FALSE),"Unknown"))</f>
        <v>2</v>
      </c>
      <c r="O289" t="s">
        <v>681</v>
      </c>
      <c r="P289">
        <f>IFERROR(VALUE(SUBSTITUTE(SUBSTITUTE(SUBSTITUTE(Table1[[#This Row],[revenue]],"EUR",""),"$",""),".",",")),"")</f>
        <v>2486.1799999999998</v>
      </c>
      <c r="Q289" t="s">
        <v>22</v>
      </c>
      <c r="R289" t="str">
        <f>IF(OR(Table1[[#This Row],[currency]]="EUR",Table1[[#This Row],[currency]]="€"),"EUR",IF(OR(Table1[[#This Row],[currency]]="USD",Table1[[#This Row],[currency]]="$"),"USD","Unknown"))</f>
        <v>USD</v>
      </c>
      <c r="S289" t="s">
        <v>18</v>
      </c>
      <c r="T289" t="str">
        <f>IFERROR(_xlfn.XLOOKUP(Table1[[#This Row],[order_status]],Table8[Original],Table8[Clean],,0,1),"Unknown")</f>
        <v>Pending</v>
      </c>
      <c r="U289">
        <v>3</v>
      </c>
      <c r="V289">
        <f>IF(ISNUMBER(Table1[[#This Row],[delivery_days]]),Table1[[#This Row],[delivery_days]],IFERROR(_xlfn.XLOOKUP(Table1[[#This Row],[delivery_days]],Table57[Original],Table57[Clean],,0,1),"Unknown"))</f>
        <v>3</v>
      </c>
    </row>
    <row r="290" spans="1:23" x14ac:dyDescent="0.3">
      <c r="A290" t="s">
        <v>682</v>
      </c>
      <c r="B290" t="str">
        <f>IF(ISBLANK(Table1[[#This Row],[order_id]]),"",IF(LEFT(Table1[[#This Row],[order_id]],3)="ORD",Table1[[#This Row],[order_id]],"ORD-" &amp; Table1[[#This Row],[order_id]]))</f>
        <v>ORD-1288</v>
      </c>
      <c r="D290" s="1" t="str">
        <f>IFERROR(DATEVALUE(Table1[[#This Row],[order_date]]),"")</f>
        <v/>
      </c>
      <c r="E290" t="s">
        <v>683</v>
      </c>
      <c r="F290" t="str">
        <f>IF(ISBLANK(Table1[[#This Row],[customer_name]]),"Unknown Customer",PROPER(SUBSTITUTE(Table1[[#This Row],[customer_name]],"Cust.","Customer")))</f>
        <v>Customer 288</v>
      </c>
      <c r="H290" t="str">
        <f>IFERROR(_xlfn.XLOOKUP(Table1[[#This Row],[region]],Mappings!$C$3:$C$8,Mappings!$D$3:$D$8,,0,1),"Unknown")</f>
        <v>Unknown</v>
      </c>
      <c r="I290" t="s">
        <v>68</v>
      </c>
      <c r="J290" t="str">
        <f>IFERROR(_xlfn.XLOOKUP(Table1[[#This Row],[sales_channel]],Table4[Original],Table4[Clean],,0,1),"Unknown")</f>
        <v>Online</v>
      </c>
      <c r="K290" t="s">
        <v>33</v>
      </c>
      <c r="L290" t="str">
        <f>IFERROR(_xlfn.XLOOKUP(Table1[[#This Row],[product]],Table3[Original],Table3[Product_clean],,0,1),"Unknown")</f>
        <v>Tablet</v>
      </c>
      <c r="M290" s="6">
        <v>1</v>
      </c>
      <c r="N290">
        <f>IF(ISNUMBER(Table1[[#This Row],[quantity]]),Table1[[#This Row],[quantity]],IFERROR(VLOOKUP(Table1[[#This Row],[quantity]],Table5[#All],2,FALSE),"Unknown"))</f>
        <v>1</v>
      </c>
      <c r="O290">
        <v>2384.9</v>
      </c>
      <c r="P290">
        <f>IFERROR(VALUE(SUBSTITUTE(SUBSTITUTE(SUBSTITUTE(Table1[[#This Row],[revenue]],"EUR",""),"$",""),".",",")),"")</f>
        <v>2384.9</v>
      </c>
      <c r="Q290" t="s">
        <v>58</v>
      </c>
      <c r="R290" t="str">
        <f>IF(OR(Table1[[#This Row],[currency]]="EUR",Table1[[#This Row],[currency]]="€"),"EUR",IF(OR(Table1[[#This Row],[currency]]="USD",Table1[[#This Row],[currency]]="$"),"USD","Unknown"))</f>
        <v>USD</v>
      </c>
      <c r="S290" t="s">
        <v>23</v>
      </c>
      <c r="T290" t="str">
        <f>IFERROR(_xlfn.XLOOKUP(Table1[[#This Row],[order_status]],Table8[Original],Table8[Clean],,0,1),"Unknown")</f>
        <v>Delivered</v>
      </c>
      <c r="U290">
        <v>2</v>
      </c>
      <c r="V290">
        <f>IF(ISNUMBER(Table1[[#This Row],[delivery_days]]),Table1[[#This Row],[delivery_days]],IFERROR(_xlfn.XLOOKUP(Table1[[#This Row],[delivery_days]],Table57[Original],Table57[Clean],,0,1),"Unknown"))</f>
        <v>2</v>
      </c>
    </row>
    <row r="291" spans="1:23" x14ac:dyDescent="0.3">
      <c r="A291" t="s">
        <v>684</v>
      </c>
      <c r="B291" t="str">
        <f>IF(ISBLANK(Table1[[#This Row],[order_id]]),"",IF(LEFT(Table1[[#This Row],[order_id]],3)="ORD",Table1[[#This Row],[order_id]],"ORD-" &amp; Table1[[#This Row],[order_id]]))</f>
        <v>ORD-1289</v>
      </c>
      <c r="C291" t="s">
        <v>345</v>
      </c>
      <c r="D291" s="1">
        <f>IFERROR(DATEVALUE(Table1[[#This Row],[order_date]]),"")</f>
        <v>45419</v>
      </c>
      <c r="E291" t="s">
        <v>685</v>
      </c>
      <c r="F291" t="str">
        <f>IF(ISBLANK(Table1[[#This Row],[customer_name]]),"Unknown Customer",PROPER(SUBSTITUTE(Table1[[#This Row],[customer_name]],"Cust.","Customer")))</f>
        <v>Customer 289</v>
      </c>
      <c r="G291" t="s">
        <v>26</v>
      </c>
      <c r="H291" t="str">
        <f>IFERROR(_xlfn.XLOOKUP(Table1[[#This Row],[region]],Mappings!$C$3:$C$8,Mappings!$D$3:$D$8,,0,1),"Unknown")</f>
        <v>Asia</v>
      </c>
      <c r="I291" t="s">
        <v>78</v>
      </c>
      <c r="J291" t="str">
        <f>IFERROR(_xlfn.XLOOKUP(Table1[[#This Row],[sales_channel]],Table4[Original],Table4[Clean],,0,1),"Unknown")</f>
        <v>Mobile</v>
      </c>
      <c r="K291" t="s">
        <v>33</v>
      </c>
      <c r="L291" t="str">
        <f>IFERROR(_xlfn.XLOOKUP(Table1[[#This Row],[product]],Table3[Original],Table3[Product_clean],,0,1),"Unknown")</f>
        <v>Tablet</v>
      </c>
      <c r="M291" s="6" t="s">
        <v>83</v>
      </c>
      <c r="N291">
        <f>IF(ISNUMBER(Table1[[#This Row],[quantity]]),Table1[[#This Row],[quantity]],IFERROR(VLOOKUP(Table1[[#This Row],[quantity]],Table5[#All],2,FALSE),"Unknown"))</f>
        <v>2</v>
      </c>
      <c r="O291">
        <v>147.56</v>
      </c>
      <c r="P291">
        <f>IFERROR(VALUE(SUBSTITUTE(SUBSTITUTE(SUBSTITUTE(Table1[[#This Row],[revenue]],"EUR",""),"$",""),".",",")),"")</f>
        <v>147.56</v>
      </c>
      <c r="Q291" t="s">
        <v>17</v>
      </c>
      <c r="R291" t="str">
        <f>IF(OR(Table1[[#This Row],[currency]]="EUR",Table1[[#This Row],[currency]]="€"),"EUR",IF(OR(Table1[[#This Row],[currency]]="USD",Table1[[#This Row],[currency]]="$"),"USD","Unknown"))</f>
        <v>EUR</v>
      </c>
      <c r="T291" t="str">
        <f>IFERROR(_xlfn.XLOOKUP(Table1[[#This Row],[order_status]],Table8[Original],Table8[Clean],,0,1),"Unknown")</f>
        <v>Unknown</v>
      </c>
      <c r="U291">
        <v>1</v>
      </c>
      <c r="V291">
        <f>IF(ISNUMBER(Table1[[#This Row],[delivery_days]]),Table1[[#This Row],[delivery_days]],IFERROR(_xlfn.XLOOKUP(Table1[[#This Row],[delivery_days]],Table57[Original],Table57[Clean],,0,1),"Unknown"))</f>
        <v>1</v>
      </c>
      <c r="W291" t="s">
        <v>37</v>
      </c>
    </row>
    <row r="292" spans="1:23" x14ac:dyDescent="0.3">
      <c r="A292">
        <v>1290</v>
      </c>
      <c r="B292" t="str">
        <f>IF(ISBLANK(Table1[[#This Row],[order_id]]),"",IF(LEFT(Table1[[#This Row],[order_id]],3)="ORD",Table1[[#This Row],[order_id]],"ORD-" &amp; Table1[[#This Row],[order_id]]))</f>
        <v>ORD-1290</v>
      </c>
      <c r="D292" s="1" t="str">
        <f>IFERROR(DATEVALUE(Table1[[#This Row],[order_date]]),"")</f>
        <v/>
      </c>
      <c r="E292" t="s">
        <v>686</v>
      </c>
      <c r="F292" t="str">
        <f>IF(ISBLANK(Table1[[#This Row],[customer_name]]),"Unknown Customer",PROPER(SUBSTITUTE(Table1[[#This Row],[customer_name]],"Cust.","Customer")))</f>
        <v>Customer 290</v>
      </c>
      <c r="G292" t="s">
        <v>26</v>
      </c>
      <c r="H292" t="str">
        <f>IFERROR(_xlfn.XLOOKUP(Table1[[#This Row],[region]],Mappings!$C$3:$C$8,Mappings!$D$3:$D$8,,0,1),"Unknown")</f>
        <v>Asia</v>
      </c>
      <c r="I292" t="s">
        <v>27</v>
      </c>
      <c r="J292" t="str">
        <f>IFERROR(_xlfn.XLOOKUP(Table1[[#This Row],[sales_channel]],Table4[Original],Table4[Clean],,0,1),"Unknown")</f>
        <v>Online</v>
      </c>
      <c r="L292" t="str">
        <f>IFERROR(_xlfn.XLOOKUP(Table1[[#This Row],[product]],Table3[Original],Table3[Product_clean],,0,1),"Unknown")</f>
        <v>Unknown</v>
      </c>
      <c r="M292" s="6">
        <v>3</v>
      </c>
      <c r="N292">
        <f>IF(ISNUMBER(Table1[[#This Row],[quantity]]),Table1[[#This Row],[quantity]],IFERROR(VLOOKUP(Table1[[#This Row],[quantity]],Table5[#All],2,FALSE),"Unknown"))</f>
        <v>3</v>
      </c>
      <c r="P292" t="str">
        <f>IFERROR(VALUE(SUBSTITUTE(SUBSTITUTE(SUBSTITUTE(Table1[[#This Row],[revenue]],"EUR",""),"$",""),".",",")),"")</f>
        <v/>
      </c>
      <c r="Q292" t="s">
        <v>17</v>
      </c>
      <c r="R292" t="str">
        <f>IF(OR(Table1[[#This Row],[currency]]="EUR",Table1[[#This Row],[currency]]="€"),"EUR",IF(OR(Table1[[#This Row],[currency]]="USD",Table1[[#This Row],[currency]]="$"),"USD","Unknown"))</f>
        <v>EUR</v>
      </c>
      <c r="S292" t="s">
        <v>35</v>
      </c>
      <c r="T292" t="str">
        <f>IFERROR(_xlfn.XLOOKUP(Table1[[#This Row],[order_status]],Table8[Original],Table8[Clean],,0,1),"Unknown")</f>
        <v>Returned</v>
      </c>
      <c r="U292">
        <v>1</v>
      </c>
      <c r="V292">
        <f>IF(ISNUMBER(Table1[[#This Row],[delivery_days]]),Table1[[#This Row],[delivery_days]],IFERROR(_xlfn.XLOOKUP(Table1[[#This Row],[delivery_days]],Table57[Original],Table57[Clean],,0,1),"Unknown"))</f>
        <v>1</v>
      </c>
    </row>
    <row r="293" spans="1:23" x14ac:dyDescent="0.3">
      <c r="A293">
        <v>1291</v>
      </c>
      <c r="B293" t="str">
        <f>IF(ISBLANK(Table1[[#This Row],[order_id]]),"",IF(LEFT(Table1[[#This Row],[order_id]],3)="ORD",Table1[[#This Row],[order_id]],"ORD-" &amp; Table1[[#This Row],[order_id]]))</f>
        <v>ORD-1291</v>
      </c>
      <c r="C293" t="s">
        <v>687</v>
      </c>
      <c r="D293" s="1">
        <f>IFERROR(DATEVALUE(Table1[[#This Row],[order_date]]),"")</f>
        <v>45317</v>
      </c>
      <c r="E293" t="s">
        <v>688</v>
      </c>
      <c r="F293" t="str">
        <f>IF(ISBLANK(Table1[[#This Row],[customer_name]]),"Unknown Customer",PROPER(SUBSTITUTE(Table1[[#This Row],[customer_name]],"Cust.","Customer")))</f>
        <v>Customer 291</v>
      </c>
      <c r="G293" t="s">
        <v>26</v>
      </c>
      <c r="H293" t="str">
        <f>IFERROR(_xlfn.XLOOKUP(Table1[[#This Row],[region]],Mappings!$C$3:$C$8,Mappings!$D$3:$D$8,,0,1),"Unknown")</f>
        <v>Asia</v>
      </c>
      <c r="J293" t="str">
        <f>IFERROR(_xlfn.XLOOKUP(Table1[[#This Row],[sales_channel]],Table4[Original],Table4[Clean],,0,1),"Unknown")</f>
        <v>Unknown</v>
      </c>
      <c r="K293" t="s">
        <v>41</v>
      </c>
      <c r="L293" t="str">
        <f>IFERROR(_xlfn.XLOOKUP(Table1[[#This Row],[product]],Table3[Original],Table3[Product_clean],,0,1),"Unknown")</f>
        <v>Phone</v>
      </c>
      <c r="M293" s="6"/>
      <c r="N293" t="str">
        <f>IF(ISNUMBER(Table1[[#This Row],[quantity]]),Table1[[#This Row],[quantity]],IFERROR(VLOOKUP(Table1[[#This Row],[quantity]],Table5[#All],2,FALSE),"Unknown"))</f>
        <v>Unknown</v>
      </c>
      <c r="O293" t="s">
        <v>689</v>
      </c>
      <c r="P293">
        <f>IFERROR(VALUE(SUBSTITUTE(SUBSTITUTE(SUBSTITUTE(Table1[[#This Row],[revenue]],"EUR",""),"$",""),".",",")),"")</f>
        <v>530.58000000000004</v>
      </c>
      <c r="Q293" t="s">
        <v>17</v>
      </c>
      <c r="R293" t="str">
        <f>IF(OR(Table1[[#This Row],[currency]]="EUR",Table1[[#This Row],[currency]]="€"),"EUR",IF(OR(Table1[[#This Row],[currency]]="USD",Table1[[#This Row],[currency]]="$"),"USD","Unknown"))</f>
        <v>EUR</v>
      </c>
      <c r="T293" t="str">
        <f>IFERROR(_xlfn.XLOOKUP(Table1[[#This Row],[order_status]],Table8[Original],Table8[Clean],,0,1),"Unknown")</f>
        <v>Unknown</v>
      </c>
      <c r="U293">
        <v>1</v>
      </c>
      <c r="V293">
        <f>IF(ISNUMBER(Table1[[#This Row],[delivery_days]]),Table1[[#This Row],[delivery_days]],IFERROR(_xlfn.XLOOKUP(Table1[[#This Row],[delivery_days]],Table57[Original],Table57[Clean],,0,1),"Unknown"))</f>
        <v>1</v>
      </c>
    </row>
    <row r="294" spans="1:23" x14ac:dyDescent="0.3">
      <c r="A294">
        <v>1292</v>
      </c>
      <c r="B294" t="str">
        <f>IF(ISBLANK(Table1[[#This Row],[order_id]]),"",IF(LEFT(Table1[[#This Row],[order_id]],3)="ORD",Table1[[#This Row],[order_id]],"ORD-" &amp; Table1[[#This Row],[order_id]]))</f>
        <v>ORD-1292</v>
      </c>
      <c r="C294" t="s">
        <v>242</v>
      </c>
      <c r="D294" s="1">
        <f>IFERROR(DATEVALUE(Table1[[#This Row],[order_date]]),"")</f>
        <v>45507</v>
      </c>
      <c r="E294" t="s">
        <v>690</v>
      </c>
      <c r="F294" t="str">
        <f>IF(ISBLANK(Table1[[#This Row],[customer_name]]),"Unknown Customer",PROPER(SUBSTITUTE(Table1[[#This Row],[customer_name]],"Cust.","Customer")))</f>
        <v>Customer 292</v>
      </c>
      <c r="H294" t="str">
        <f>IFERROR(_xlfn.XLOOKUP(Table1[[#This Row],[region]],Mappings!$C$3:$C$8,Mappings!$D$3:$D$8,,0,1),"Unknown")</f>
        <v>Unknown</v>
      </c>
      <c r="J294" t="str">
        <f>IFERROR(_xlfn.XLOOKUP(Table1[[#This Row],[sales_channel]],Table4[Original],Table4[Clean],,0,1),"Unknown")</f>
        <v>Unknown</v>
      </c>
      <c r="K294" t="s">
        <v>15</v>
      </c>
      <c r="L294" t="str">
        <f>IFERROR(_xlfn.XLOOKUP(Table1[[#This Row],[product]],Table3[Original],Table3[Product_clean],,0,1),"Unknown")</f>
        <v>Tablet</v>
      </c>
      <c r="M294" s="6">
        <v>3</v>
      </c>
      <c r="N294">
        <f>IF(ISNUMBER(Table1[[#This Row],[quantity]]),Table1[[#This Row],[quantity]],IFERROR(VLOOKUP(Table1[[#This Row],[quantity]],Table5[#All],2,FALSE),"Unknown"))</f>
        <v>3</v>
      </c>
      <c r="O294">
        <v>1959.75</v>
      </c>
      <c r="P294">
        <f>IFERROR(VALUE(SUBSTITUTE(SUBSTITUTE(SUBSTITUTE(Table1[[#This Row],[revenue]],"EUR",""),"$",""),".",",")),"")</f>
        <v>1959.75</v>
      </c>
      <c r="Q294" t="s">
        <v>22</v>
      </c>
      <c r="R294" t="str">
        <f>IF(OR(Table1[[#This Row],[currency]]="EUR",Table1[[#This Row],[currency]]="€"),"EUR",IF(OR(Table1[[#This Row],[currency]]="USD",Table1[[#This Row],[currency]]="$"),"USD","Unknown"))</f>
        <v>USD</v>
      </c>
      <c r="S294" t="s">
        <v>47</v>
      </c>
      <c r="T294" t="str">
        <f>IFERROR(_xlfn.XLOOKUP(Table1[[#This Row],[order_status]],Table8[Original],Table8[Clean],,0,1),"Unknown")</f>
        <v>Returned</v>
      </c>
      <c r="U294">
        <v>3</v>
      </c>
      <c r="V294">
        <f>IF(ISNUMBER(Table1[[#This Row],[delivery_days]]),Table1[[#This Row],[delivery_days]],IFERROR(_xlfn.XLOOKUP(Table1[[#This Row],[delivery_days]],Table57[Original],Table57[Clean],,0,1),"Unknown"))</f>
        <v>3</v>
      </c>
    </row>
    <row r="295" spans="1:23" x14ac:dyDescent="0.3">
      <c r="B295" t="str">
        <f>IF(ISBLANK(Table1[[#This Row],[order_id]]),"",IF(LEFT(Table1[[#This Row],[order_id]],3)="ORD",Table1[[#This Row],[order_id]],"ORD-" &amp; Table1[[#This Row],[order_id]]))</f>
        <v/>
      </c>
      <c r="D295" s="1" t="str">
        <f>IFERROR(DATEVALUE(Table1[[#This Row],[order_date]]),"")</f>
        <v/>
      </c>
      <c r="E295" t="s">
        <v>691</v>
      </c>
      <c r="F295" t="str">
        <f>IF(ISBLANK(Table1[[#This Row],[customer_name]]),"Unknown Customer",PROPER(SUBSTITUTE(Table1[[#This Row],[customer_name]],"Cust.","Customer")))</f>
        <v>Customer 293</v>
      </c>
      <c r="G295" t="s">
        <v>73</v>
      </c>
      <c r="H295" t="str">
        <f>IFERROR(_xlfn.XLOOKUP(Table1[[#This Row],[region]],Mappings!$C$3:$C$8,Mappings!$D$3:$D$8,,0,1),"Unknown")</f>
        <v>Europe</v>
      </c>
      <c r="I295" t="s">
        <v>68</v>
      </c>
      <c r="J295" t="str">
        <f>IFERROR(_xlfn.XLOOKUP(Table1[[#This Row],[sales_channel]],Table4[Original],Table4[Clean],,0,1),"Unknown")</f>
        <v>Online</v>
      </c>
      <c r="K295" t="s">
        <v>15</v>
      </c>
      <c r="L295" t="str">
        <f>IFERROR(_xlfn.XLOOKUP(Table1[[#This Row],[product]],Table3[Original],Table3[Product_clean],,0,1),"Unknown")</f>
        <v>Tablet</v>
      </c>
      <c r="M295" s="6">
        <v>3</v>
      </c>
      <c r="N295">
        <f>IF(ISNUMBER(Table1[[#This Row],[quantity]]),Table1[[#This Row],[quantity]],IFERROR(VLOOKUP(Table1[[#This Row],[quantity]],Table5[#All],2,FALSE),"Unknown"))</f>
        <v>3</v>
      </c>
      <c r="O295" t="s">
        <v>692</v>
      </c>
      <c r="P295">
        <f>IFERROR(VALUE(SUBSTITUTE(SUBSTITUTE(SUBSTITUTE(Table1[[#This Row],[revenue]],"EUR",""),"$",""),".",",")),"")</f>
        <v>693.72</v>
      </c>
      <c r="R295" t="str">
        <f>IF(OR(Table1[[#This Row],[currency]]="EUR",Table1[[#This Row],[currency]]="€"),"EUR",IF(OR(Table1[[#This Row],[currency]]="USD",Table1[[#This Row],[currency]]="$"),"USD","Unknown"))</f>
        <v>Unknown</v>
      </c>
      <c r="T295" t="str">
        <f>IFERROR(_xlfn.XLOOKUP(Table1[[#This Row],[order_status]],Table8[Original],Table8[Clean],,0,1),"Unknown")</f>
        <v>Unknown</v>
      </c>
      <c r="U295" t="s">
        <v>36</v>
      </c>
      <c r="V295">
        <f>IF(ISNUMBER(Table1[[#This Row],[delivery_days]]),Table1[[#This Row],[delivery_days]],IFERROR(_xlfn.XLOOKUP(Table1[[#This Row],[delivery_days]],Table57[Original],Table57[Clean],,0,1),"Unknown"))</f>
        <v>5</v>
      </c>
      <c r="W295" t="s">
        <v>24</v>
      </c>
    </row>
    <row r="296" spans="1:23" x14ac:dyDescent="0.3">
      <c r="A296">
        <v>1294</v>
      </c>
      <c r="B296" t="str">
        <f>IF(ISBLANK(Table1[[#This Row],[order_id]]),"",IF(LEFT(Table1[[#This Row],[order_id]],3)="ORD",Table1[[#This Row],[order_id]],"ORD-" &amp; Table1[[#This Row],[order_id]]))</f>
        <v>ORD-1294</v>
      </c>
      <c r="C296" t="s">
        <v>693</v>
      </c>
      <c r="D296" s="1">
        <f>IFERROR(DATEVALUE(Table1[[#This Row],[order_date]]),"")</f>
        <v>45297</v>
      </c>
      <c r="E296" t="s">
        <v>694</v>
      </c>
      <c r="F296" t="str">
        <f>IF(ISBLANK(Table1[[#This Row],[customer_name]]),"Unknown Customer",PROPER(SUBSTITUTE(Table1[[#This Row],[customer_name]],"Cust.","Customer")))</f>
        <v>Customer 294</v>
      </c>
      <c r="H296" t="str">
        <f>IFERROR(_xlfn.XLOOKUP(Table1[[#This Row],[region]],Mappings!$C$3:$C$8,Mappings!$D$3:$D$8,,0,1),"Unknown")</f>
        <v>Unknown</v>
      </c>
      <c r="I296" t="s">
        <v>50</v>
      </c>
      <c r="J296" t="str">
        <f>IFERROR(_xlfn.XLOOKUP(Table1[[#This Row],[sales_channel]],Table4[Original],Table4[Clean],,0,1),"Unknown")</f>
        <v>Mobile</v>
      </c>
      <c r="L296" t="str">
        <f>IFERROR(_xlfn.XLOOKUP(Table1[[#This Row],[product]],Table3[Original],Table3[Product_clean],,0,1),"Unknown")</f>
        <v>Unknown</v>
      </c>
      <c r="M296" s="6">
        <v>3</v>
      </c>
      <c r="N296">
        <f>IF(ISNUMBER(Table1[[#This Row],[quantity]]),Table1[[#This Row],[quantity]],IFERROR(VLOOKUP(Table1[[#This Row],[quantity]],Table5[#All],2,FALSE),"Unknown"))</f>
        <v>3</v>
      </c>
      <c r="P296" t="str">
        <f>IFERROR(VALUE(SUBSTITUTE(SUBSTITUTE(SUBSTITUTE(Table1[[#This Row],[revenue]],"EUR",""),"$",""),".",",")),"")</f>
        <v/>
      </c>
      <c r="Q296" t="s">
        <v>55</v>
      </c>
      <c r="R296" t="str">
        <f>IF(OR(Table1[[#This Row],[currency]]="EUR",Table1[[#This Row],[currency]]="€"),"EUR",IF(OR(Table1[[#This Row],[currency]]="USD",Table1[[#This Row],[currency]]="$"),"USD","Unknown"))</f>
        <v>EUR</v>
      </c>
      <c r="T296" t="str">
        <f>IFERROR(_xlfn.XLOOKUP(Table1[[#This Row],[order_status]],Table8[Original],Table8[Clean],,0,1),"Unknown")</f>
        <v>Unknown</v>
      </c>
      <c r="V296" t="str">
        <f>IF(ISNUMBER(Table1[[#This Row],[delivery_days]]),Table1[[#This Row],[delivery_days]],IFERROR(_xlfn.XLOOKUP(Table1[[#This Row],[delivery_days]],Table57[Original],Table57[Clean],,0,1),"Unknown"))</f>
        <v>Unknown</v>
      </c>
      <c r="W296" t="s">
        <v>24</v>
      </c>
    </row>
    <row r="297" spans="1:23" x14ac:dyDescent="0.3">
      <c r="A297">
        <v>1295</v>
      </c>
      <c r="B297" t="str">
        <f>IF(ISBLANK(Table1[[#This Row],[order_id]]),"",IF(LEFT(Table1[[#This Row],[order_id]],3)="ORD",Table1[[#This Row],[order_id]],"ORD-" &amp; Table1[[#This Row],[order_id]]))</f>
        <v>ORD-1295</v>
      </c>
      <c r="D297" s="1" t="str">
        <f>IFERROR(DATEVALUE(Table1[[#This Row],[order_date]]),"")</f>
        <v/>
      </c>
      <c r="E297" t="s">
        <v>695</v>
      </c>
      <c r="F297" t="str">
        <f>IF(ISBLANK(Table1[[#This Row],[customer_name]]),"Unknown Customer",PROPER(SUBSTITUTE(Table1[[#This Row],[customer_name]],"Cust.","Customer")))</f>
        <v>Customer 295</v>
      </c>
      <c r="H297" t="str">
        <f>IFERROR(_xlfn.XLOOKUP(Table1[[#This Row],[region]],Mappings!$C$3:$C$8,Mappings!$D$3:$D$8,,0,1),"Unknown")</f>
        <v>Unknown</v>
      </c>
      <c r="I297" t="s">
        <v>27</v>
      </c>
      <c r="J297" t="str">
        <f>IFERROR(_xlfn.XLOOKUP(Table1[[#This Row],[sales_channel]],Table4[Original],Table4[Clean],,0,1),"Unknown")</f>
        <v>Online</v>
      </c>
      <c r="K297" t="s">
        <v>15</v>
      </c>
      <c r="L297" t="str">
        <f>IFERROR(_xlfn.XLOOKUP(Table1[[#This Row],[product]],Table3[Original],Table3[Product_clean],,0,1),"Unknown")</f>
        <v>Tablet</v>
      </c>
      <c r="M297" s="6">
        <v>1</v>
      </c>
      <c r="N297">
        <f>IF(ISNUMBER(Table1[[#This Row],[quantity]]),Table1[[#This Row],[quantity]],IFERROR(VLOOKUP(Table1[[#This Row],[quantity]],Table5[#All],2,FALSE),"Unknown"))</f>
        <v>1</v>
      </c>
      <c r="O297" t="s">
        <v>696</v>
      </c>
      <c r="P297">
        <f>IFERROR(VALUE(SUBSTITUTE(SUBSTITUTE(SUBSTITUTE(Table1[[#This Row],[revenue]],"EUR",""),"$",""),".",",")),"")</f>
        <v>492.29</v>
      </c>
      <c r="Q297" t="s">
        <v>22</v>
      </c>
      <c r="R297" t="str">
        <f>IF(OR(Table1[[#This Row],[currency]]="EUR",Table1[[#This Row],[currency]]="€"),"EUR",IF(OR(Table1[[#This Row],[currency]]="USD",Table1[[#This Row],[currency]]="$"),"USD","Unknown"))</f>
        <v>USD</v>
      </c>
      <c r="S297" t="s">
        <v>35</v>
      </c>
      <c r="T297" t="str">
        <f>IFERROR(_xlfn.XLOOKUP(Table1[[#This Row],[order_status]],Table8[Original],Table8[Clean],,0,1),"Unknown")</f>
        <v>Returned</v>
      </c>
      <c r="U297">
        <v>3</v>
      </c>
      <c r="V297">
        <f>IF(ISNUMBER(Table1[[#This Row],[delivery_days]]),Table1[[#This Row],[delivery_days]],IFERROR(_xlfn.XLOOKUP(Table1[[#This Row],[delivery_days]],Table57[Original],Table57[Clean],,0,1),"Unknown"))</f>
        <v>3</v>
      </c>
    </row>
    <row r="298" spans="1:23" x14ac:dyDescent="0.3">
      <c r="B298" t="str">
        <f>IF(ISBLANK(Table1[[#This Row],[order_id]]),"",IF(LEFT(Table1[[#This Row],[order_id]],3)="ORD",Table1[[#This Row],[order_id]],"ORD-" &amp; Table1[[#This Row],[order_id]]))</f>
        <v/>
      </c>
      <c r="C298" t="s">
        <v>697</v>
      </c>
      <c r="D298" s="1">
        <f>IFERROR(DATEVALUE(Table1[[#This Row],[order_date]]),"")</f>
        <v>45499</v>
      </c>
      <c r="E298" t="s">
        <v>698</v>
      </c>
      <c r="F298" t="str">
        <f>IF(ISBLANK(Table1[[#This Row],[customer_name]]),"Unknown Customer",PROPER(SUBSTITUTE(Table1[[#This Row],[customer_name]],"Cust.","Customer")))</f>
        <v>Customer 296</v>
      </c>
      <c r="H298" t="str">
        <f>IFERROR(_xlfn.XLOOKUP(Table1[[#This Row],[region]],Mappings!$C$3:$C$8,Mappings!$D$3:$D$8,,0,1),"Unknown")</f>
        <v>Unknown</v>
      </c>
      <c r="J298" t="str">
        <f>IFERROR(_xlfn.XLOOKUP(Table1[[#This Row],[sales_channel]],Table4[Original],Table4[Clean],,0,1),"Unknown")</f>
        <v>Unknown</v>
      </c>
      <c r="K298" t="s">
        <v>28</v>
      </c>
      <c r="L298" t="str">
        <f>IFERROR(_xlfn.XLOOKUP(Table1[[#This Row],[product]],Table3[Original],Table3[Product_clean],,0,1),"Unknown")</f>
        <v>Laptop</v>
      </c>
      <c r="M298" s="6"/>
      <c r="N298" t="str">
        <f>IF(ISNUMBER(Table1[[#This Row],[quantity]]),Table1[[#This Row],[quantity]],IFERROR(VLOOKUP(Table1[[#This Row],[quantity]],Table5[#All],2,FALSE),"Unknown"))</f>
        <v>Unknown</v>
      </c>
      <c r="O298">
        <v>1195.4100000000001</v>
      </c>
      <c r="P298">
        <f>IFERROR(VALUE(SUBSTITUTE(SUBSTITUTE(SUBSTITUTE(Table1[[#This Row],[revenue]],"EUR",""),"$",""),".",",")),"")</f>
        <v>1195.4100000000001</v>
      </c>
      <c r="Q298" t="s">
        <v>22</v>
      </c>
      <c r="R298" t="str">
        <f>IF(OR(Table1[[#This Row],[currency]]="EUR",Table1[[#This Row],[currency]]="€"),"EUR",IF(OR(Table1[[#This Row],[currency]]="USD",Table1[[#This Row],[currency]]="$"),"USD","Unknown"))</f>
        <v>USD</v>
      </c>
      <c r="T298" t="str">
        <f>IFERROR(_xlfn.XLOOKUP(Table1[[#This Row],[order_status]],Table8[Original],Table8[Clean],,0,1),"Unknown")</f>
        <v>Unknown</v>
      </c>
      <c r="U298">
        <v>3</v>
      </c>
      <c r="V298">
        <f>IF(ISNUMBER(Table1[[#This Row],[delivery_days]]),Table1[[#This Row],[delivery_days]],IFERROR(_xlfn.XLOOKUP(Table1[[#This Row],[delivery_days]],Table57[Original],Table57[Clean],,0,1),"Unknown"))</f>
        <v>3</v>
      </c>
      <c r="W298" t="s">
        <v>24</v>
      </c>
    </row>
    <row r="299" spans="1:23" x14ac:dyDescent="0.3">
      <c r="A299" t="s">
        <v>699</v>
      </c>
      <c r="B299" t="str">
        <f>IF(ISBLANK(Table1[[#This Row],[order_id]]),"",IF(LEFT(Table1[[#This Row],[order_id]],3)="ORD",Table1[[#This Row],[order_id]],"ORD-" &amp; Table1[[#This Row],[order_id]]))</f>
        <v>ORD-1297</v>
      </c>
      <c r="C299" t="s">
        <v>700</v>
      </c>
      <c r="D299" s="1">
        <f>IFERROR(DATEVALUE(Table1[[#This Row],[order_date]]),"")</f>
        <v>45379</v>
      </c>
      <c r="F299" t="str">
        <f>IF(ISBLANK(Table1[[#This Row],[customer_name]]),"Unknown Customer",PROPER(SUBSTITUTE(Table1[[#This Row],[customer_name]],"Cust.","Customer")))</f>
        <v>Unknown Customer</v>
      </c>
      <c r="G299" t="s">
        <v>54</v>
      </c>
      <c r="H299" t="str">
        <f>IFERROR(_xlfn.XLOOKUP(Table1[[#This Row],[region]],Mappings!$C$3:$C$8,Mappings!$D$3:$D$8,,0,1),"Unknown")</f>
        <v>USA</v>
      </c>
      <c r="J299" t="str">
        <f>IFERROR(_xlfn.XLOOKUP(Table1[[#This Row],[sales_channel]],Table4[Original],Table4[Clean],,0,1),"Unknown")</f>
        <v>Unknown</v>
      </c>
      <c r="K299" t="s">
        <v>102</v>
      </c>
      <c r="L299" t="str">
        <f>IFERROR(_xlfn.XLOOKUP(Table1[[#This Row],[product]],Table3[Original],Table3[Product_clean],,0,1),"Unknown")</f>
        <v>Phone</v>
      </c>
      <c r="M299" s="6"/>
      <c r="N299" t="str">
        <f>IF(ISNUMBER(Table1[[#This Row],[quantity]]),Table1[[#This Row],[quantity]],IFERROR(VLOOKUP(Table1[[#This Row],[quantity]],Table5[#All],2,FALSE),"Unknown"))</f>
        <v>Unknown</v>
      </c>
      <c r="O299" t="s">
        <v>701</v>
      </c>
      <c r="P299">
        <f>IFERROR(VALUE(SUBSTITUTE(SUBSTITUTE(SUBSTITUTE(Table1[[#This Row],[revenue]],"EUR",""),"$",""),".",",")),"")</f>
        <v>2529.88</v>
      </c>
      <c r="Q299" t="s">
        <v>58</v>
      </c>
      <c r="R299" t="str">
        <f>IF(OR(Table1[[#This Row],[currency]]="EUR",Table1[[#This Row],[currency]]="€"),"EUR",IF(OR(Table1[[#This Row],[currency]]="USD",Table1[[#This Row],[currency]]="$"),"USD","Unknown"))</f>
        <v>USD</v>
      </c>
      <c r="T299" t="str">
        <f>IFERROR(_xlfn.XLOOKUP(Table1[[#This Row],[order_status]],Table8[Original],Table8[Clean],,0,1),"Unknown")</f>
        <v>Unknown</v>
      </c>
      <c r="U299">
        <v>3</v>
      </c>
      <c r="V299">
        <f>IF(ISNUMBER(Table1[[#This Row],[delivery_days]]),Table1[[#This Row],[delivery_days]],IFERROR(_xlfn.XLOOKUP(Table1[[#This Row],[delivery_days]],Table57[Original],Table57[Clean],,0,1),"Unknown"))</f>
        <v>3</v>
      </c>
    </row>
    <row r="300" spans="1:23" x14ac:dyDescent="0.3">
      <c r="A300" t="s">
        <v>702</v>
      </c>
      <c r="B300" t="str">
        <f>IF(ISBLANK(Table1[[#This Row],[order_id]]),"",IF(LEFT(Table1[[#This Row],[order_id]],3)="ORD",Table1[[#This Row],[order_id]],"ORD-" &amp; Table1[[#This Row],[order_id]]))</f>
        <v>ORD-1298</v>
      </c>
      <c r="C300" t="s">
        <v>703</v>
      </c>
      <c r="D300" s="1" t="str">
        <f>IFERROR(DATEVALUE(Table1[[#This Row],[order_date]]),"")</f>
        <v/>
      </c>
      <c r="E300" t="s">
        <v>704</v>
      </c>
      <c r="F300" t="str">
        <f>IF(ISBLANK(Table1[[#This Row],[customer_name]]),"Unknown Customer",PROPER(SUBSTITUTE(Table1[[#This Row],[customer_name]],"Cust.","Customer")))</f>
        <v>Customer 298</v>
      </c>
      <c r="G300" t="s">
        <v>26</v>
      </c>
      <c r="H300" t="str">
        <f>IFERROR(_xlfn.XLOOKUP(Table1[[#This Row],[region]],Mappings!$C$3:$C$8,Mappings!$D$3:$D$8,,0,1),"Unknown")</f>
        <v>Asia</v>
      </c>
      <c r="I300" t="s">
        <v>68</v>
      </c>
      <c r="J300" t="str">
        <f>IFERROR(_xlfn.XLOOKUP(Table1[[#This Row],[sales_channel]],Table4[Original],Table4[Clean],,0,1),"Unknown")</f>
        <v>Online</v>
      </c>
      <c r="K300" t="s">
        <v>102</v>
      </c>
      <c r="L300" t="str">
        <f>IFERROR(_xlfn.XLOOKUP(Table1[[#This Row],[product]],Table3[Original],Table3[Product_clean],,0,1),"Unknown")</f>
        <v>Phone</v>
      </c>
      <c r="M300" s="6" t="s">
        <v>83</v>
      </c>
      <c r="N300">
        <f>IF(ISNUMBER(Table1[[#This Row],[quantity]]),Table1[[#This Row],[quantity]],IFERROR(VLOOKUP(Table1[[#This Row],[quantity]],Table5[#All],2,FALSE),"Unknown"))</f>
        <v>2</v>
      </c>
      <c r="O300" t="s">
        <v>705</v>
      </c>
      <c r="P300">
        <f>IFERROR(VALUE(SUBSTITUTE(SUBSTITUTE(SUBSTITUTE(Table1[[#This Row],[revenue]],"EUR",""),"$",""),".",",")),"")</f>
        <v>1098.0899999999999</v>
      </c>
      <c r="Q300" t="s">
        <v>17</v>
      </c>
      <c r="R300" t="str">
        <f>IF(OR(Table1[[#This Row],[currency]]="EUR",Table1[[#This Row],[currency]]="€"),"EUR",IF(OR(Table1[[#This Row],[currency]]="USD",Table1[[#This Row],[currency]]="$"),"USD","Unknown"))</f>
        <v>EUR</v>
      </c>
      <c r="S300" t="s">
        <v>47</v>
      </c>
      <c r="T300" t="str">
        <f>IFERROR(_xlfn.XLOOKUP(Table1[[#This Row],[order_status]],Table8[Original],Table8[Clean],,0,1),"Unknown")</f>
        <v>Returned</v>
      </c>
      <c r="U300">
        <v>1</v>
      </c>
      <c r="V300">
        <f>IF(ISNUMBER(Table1[[#This Row],[delivery_days]]),Table1[[#This Row],[delivery_days]],IFERROR(_xlfn.XLOOKUP(Table1[[#This Row],[delivery_days]],Table57[Original],Table57[Clean],,0,1),"Unknown"))</f>
        <v>1</v>
      </c>
    </row>
    <row r="301" spans="1:23" x14ac:dyDescent="0.3">
      <c r="B301" t="str">
        <f>IF(ISBLANK(Table1[[#This Row],[order_id]]),"",IF(LEFT(Table1[[#This Row],[order_id]],3)="ORD",Table1[[#This Row],[order_id]],"ORD-" &amp; Table1[[#This Row],[order_id]]))</f>
        <v/>
      </c>
      <c r="D301" s="1" t="str">
        <f>IFERROR(DATEVALUE(Table1[[#This Row],[order_date]]),"")</f>
        <v/>
      </c>
      <c r="E301" t="s">
        <v>706</v>
      </c>
      <c r="F301" t="str">
        <f>IF(ISBLANK(Table1[[#This Row],[customer_name]]),"Unknown Customer",PROPER(SUBSTITUTE(Table1[[#This Row],[customer_name]],"Cust.","Customer")))</f>
        <v>Customer 299</v>
      </c>
      <c r="G301" t="s">
        <v>32</v>
      </c>
      <c r="H301" t="str">
        <f>IFERROR(_xlfn.XLOOKUP(Table1[[#This Row],[region]],Mappings!$C$3:$C$8,Mappings!$D$3:$D$8,,0,1),"Unknown")</f>
        <v>Europe</v>
      </c>
      <c r="I301" t="s">
        <v>14</v>
      </c>
      <c r="J301" t="str">
        <f>IFERROR(_xlfn.XLOOKUP(Table1[[#This Row],[sales_channel]],Table4[Original],Table4[Clean],,0,1),"Unknown")</f>
        <v>Online</v>
      </c>
      <c r="L301" t="str">
        <f>IFERROR(_xlfn.XLOOKUP(Table1[[#This Row],[product]],Table3[Original],Table3[Product_clean],,0,1),"Unknown")</f>
        <v>Unknown</v>
      </c>
      <c r="M301" s="6">
        <v>2</v>
      </c>
      <c r="N301">
        <f>IF(ISNUMBER(Table1[[#This Row],[quantity]]),Table1[[#This Row],[quantity]],IFERROR(VLOOKUP(Table1[[#This Row],[quantity]],Table5[#All],2,FALSE),"Unknown"))</f>
        <v>2</v>
      </c>
      <c r="O301">
        <v>2673.81</v>
      </c>
      <c r="P301">
        <f>IFERROR(VALUE(SUBSTITUTE(SUBSTITUTE(SUBSTITUTE(Table1[[#This Row],[revenue]],"EUR",""),"$",""),".",",")),"")</f>
        <v>2673.81</v>
      </c>
      <c r="Q301" t="s">
        <v>58</v>
      </c>
      <c r="R301" t="str">
        <f>IF(OR(Table1[[#This Row],[currency]]="EUR",Table1[[#This Row],[currency]]="€"),"EUR",IF(OR(Table1[[#This Row],[currency]]="USD",Table1[[#This Row],[currency]]="$"),"USD","Unknown"))</f>
        <v>USD</v>
      </c>
      <c r="S301" t="s">
        <v>23</v>
      </c>
      <c r="T301" t="str">
        <f>IFERROR(_xlfn.XLOOKUP(Table1[[#This Row],[order_status]],Table8[Original],Table8[Clean],,0,1),"Unknown")</f>
        <v>Delivered</v>
      </c>
      <c r="U301">
        <v>3</v>
      </c>
      <c r="V301">
        <f>IF(ISNUMBER(Table1[[#This Row],[delivery_days]]),Table1[[#This Row],[delivery_days]],IFERROR(_xlfn.XLOOKUP(Table1[[#This Row],[delivery_days]],Table57[Original],Table57[Clean],,0,1),"Unknown"))</f>
        <v>3</v>
      </c>
    </row>
    <row r="302" spans="1:23" x14ac:dyDescent="0.3">
      <c r="A302">
        <v>1300</v>
      </c>
      <c r="B302" t="str">
        <f>IF(ISBLANK(Table1[[#This Row],[order_id]]),"",IF(LEFT(Table1[[#This Row],[order_id]],3)="ORD",Table1[[#This Row],[order_id]],"ORD-" &amp; Table1[[#This Row],[order_id]]))</f>
        <v>ORD-1300</v>
      </c>
      <c r="C302" t="s">
        <v>379</v>
      </c>
      <c r="D302" s="1" t="str">
        <f>IFERROR(DATEVALUE(Table1[[#This Row],[order_date]]),"")</f>
        <v/>
      </c>
      <c r="E302" t="s">
        <v>707</v>
      </c>
      <c r="F302" t="str">
        <f>IF(ISBLANK(Table1[[#This Row],[customer_name]]),"Unknown Customer",PROPER(SUBSTITUTE(Table1[[#This Row],[customer_name]],"Cust.","Customer")))</f>
        <v>Customer 300</v>
      </c>
      <c r="H302" t="str">
        <f>IFERROR(_xlfn.XLOOKUP(Table1[[#This Row],[region]],Mappings!$C$3:$C$8,Mappings!$D$3:$D$8,,0,1),"Unknown")</f>
        <v>Unknown</v>
      </c>
      <c r="I302" t="s">
        <v>14</v>
      </c>
      <c r="J302" t="str">
        <f>IFERROR(_xlfn.XLOOKUP(Table1[[#This Row],[sales_channel]],Table4[Original],Table4[Clean],,0,1),"Unknown")</f>
        <v>Online</v>
      </c>
      <c r="K302" t="s">
        <v>41</v>
      </c>
      <c r="L302" t="str">
        <f>IFERROR(_xlfn.XLOOKUP(Table1[[#This Row],[product]],Table3[Original],Table3[Product_clean],,0,1),"Unknown")</f>
        <v>Phone</v>
      </c>
      <c r="M302" s="6">
        <v>3</v>
      </c>
      <c r="N302">
        <f>IF(ISNUMBER(Table1[[#This Row],[quantity]]),Table1[[#This Row],[quantity]],IFERROR(VLOOKUP(Table1[[#This Row],[quantity]],Table5[#All],2,FALSE),"Unknown"))</f>
        <v>3</v>
      </c>
      <c r="P302" t="str">
        <f>IFERROR(VALUE(SUBSTITUTE(SUBSTITUTE(SUBSTITUTE(Table1[[#This Row],[revenue]],"EUR",""),"$",""),".",",")),"")</f>
        <v/>
      </c>
      <c r="Q302" t="s">
        <v>58</v>
      </c>
      <c r="R302" t="str">
        <f>IF(OR(Table1[[#This Row],[currency]]="EUR",Table1[[#This Row],[currency]]="€"),"EUR",IF(OR(Table1[[#This Row],[currency]]="USD",Table1[[#This Row],[currency]]="$"),"USD","Unknown"))</f>
        <v>USD</v>
      </c>
      <c r="S302" t="s">
        <v>35</v>
      </c>
      <c r="T302" t="str">
        <f>IFERROR(_xlfn.XLOOKUP(Table1[[#This Row],[order_status]],Table8[Original],Table8[Clean],,0,1),"Unknown")</f>
        <v>Returned</v>
      </c>
      <c r="V302" t="str">
        <f>IF(ISNUMBER(Table1[[#This Row],[delivery_days]]),Table1[[#This Row],[delivery_days]],IFERROR(_xlfn.XLOOKUP(Table1[[#This Row],[delivery_days]],Table57[Original],Table57[Clean],,0,1),"Unknown"))</f>
        <v>Unknown</v>
      </c>
    </row>
    <row r="303" spans="1:23" x14ac:dyDescent="0.3">
      <c r="A303">
        <v>1301</v>
      </c>
      <c r="B303" t="str">
        <f>IF(ISBLANK(Table1[[#This Row],[order_id]]),"",IF(LEFT(Table1[[#This Row],[order_id]],3)="ORD",Table1[[#This Row],[order_id]],"ORD-" &amp; Table1[[#This Row],[order_id]]))</f>
        <v>ORD-1301</v>
      </c>
      <c r="C303" t="s">
        <v>708</v>
      </c>
      <c r="D303" s="1">
        <f>IFERROR(DATEVALUE(Table1[[#This Row],[order_date]]),"")</f>
        <v>45294</v>
      </c>
      <c r="F303" t="str">
        <f>IF(ISBLANK(Table1[[#This Row],[customer_name]]),"Unknown Customer",PROPER(SUBSTITUTE(Table1[[#This Row],[customer_name]],"Cust.","Customer")))</f>
        <v>Unknown Customer</v>
      </c>
      <c r="H303" t="str">
        <f>IFERROR(_xlfn.XLOOKUP(Table1[[#This Row],[region]],Mappings!$C$3:$C$8,Mappings!$D$3:$D$8,,0,1),"Unknown")</f>
        <v>Unknown</v>
      </c>
      <c r="I303" t="s">
        <v>14</v>
      </c>
      <c r="J303" t="str">
        <f>IFERROR(_xlfn.XLOOKUP(Table1[[#This Row],[sales_channel]],Table4[Original],Table4[Clean],,0,1),"Unknown")</f>
        <v>Online</v>
      </c>
      <c r="K303" t="s">
        <v>28</v>
      </c>
      <c r="L303" t="str">
        <f>IFERROR(_xlfn.XLOOKUP(Table1[[#This Row],[product]],Table3[Original],Table3[Product_clean],,0,1),"Unknown")</f>
        <v>Laptop</v>
      </c>
      <c r="M303" s="6"/>
      <c r="N303" t="str">
        <f>IF(ISNUMBER(Table1[[#This Row],[quantity]]),Table1[[#This Row],[quantity]],IFERROR(VLOOKUP(Table1[[#This Row],[quantity]],Table5[#All],2,FALSE),"Unknown"))</f>
        <v>Unknown</v>
      </c>
      <c r="O303" t="s">
        <v>709</v>
      </c>
      <c r="P303">
        <f>IFERROR(VALUE(SUBSTITUTE(SUBSTITUTE(SUBSTITUTE(Table1[[#This Row],[revenue]],"EUR",""),"$",""),".",",")),"")</f>
        <v>1383.56</v>
      </c>
      <c r="Q303" t="s">
        <v>22</v>
      </c>
      <c r="R303" t="str">
        <f>IF(OR(Table1[[#This Row],[currency]]="EUR",Table1[[#This Row],[currency]]="€"),"EUR",IF(OR(Table1[[#This Row],[currency]]="USD",Table1[[#This Row],[currency]]="$"),"USD","Unknown"))</f>
        <v>USD</v>
      </c>
      <c r="T303" t="str">
        <f>IFERROR(_xlfn.XLOOKUP(Table1[[#This Row],[order_status]],Table8[Original],Table8[Clean],,0,1),"Unknown")</f>
        <v>Unknown</v>
      </c>
      <c r="U303">
        <v>5</v>
      </c>
      <c r="V303">
        <f>IF(ISNUMBER(Table1[[#This Row],[delivery_days]]),Table1[[#This Row],[delivery_days]],IFERROR(_xlfn.XLOOKUP(Table1[[#This Row],[delivery_days]],Table57[Original],Table57[Clean],,0,1),"Unknown"))</f>
        <v>5</v>
      </c>
    </row>
    <row r="304" spans="1:23" x14ac:dyDescent="0.3">
      <c r="A304">
        <v>1302</v>
      </c>
      <c r="B304" t="str">
        <f>IF(ISBLANK(Table1[[#This Row],[order_id]]),"",IF(LEFT(Table1[[#This Row],[order_id]],3)="ORD",Table1[[#This Row],[order_id]],"ORD-" &amp; Table1[[#This Row],[order_id]]))</f>
        <v>ORD-1302</v>
      </c>
      <c r="C304" t="s">
        <v>710</v>
      </c>
      <c r="D304" s="1">
        <f>IFERROR(DATEVALUE(Table1[[#This Row],[order_date]]),"")</f>
        <v>45511</v>
      </c>
      <c r="E304" t="s">
        <v>711</v>
      </c>
      <c r="F304" t="str">
        <f>IF(ISBLANK(Table1[[#This Row],[customer_name]]),"Unknown Customer",PROPER(SUBSTITUTE(Table1[[#This Row],[customer_name]],"Cust.","Customer")))</f>
        <v>Customer 302</v>
      </c>
      <c r="H304" t="str">
        <f>IFERROR(_xlfn.XLOOKUP(Table1[[#This Row],[region]],Mappings!$C$3:$C$8,Mappings!$D$3:$D$8,,0,1),"Unknown")</f>
        <v>Unknown</v>
      </c>
      <c r="I304" t="s">
        <v>50</v>
      </c>
      <c r="J304" t="str">
        <f>IFERROR(_xlfn.XLOOKUP(Table1[[#This Row],[sales_channel]],Table4[Original],Table4[Clean],,0,1),"Unknown")</f>
        <v>Mobile</v>
      </c>
      <c r="K304" t="s">
        <v>51</v>
      </c>
      <c r="L304" t="str">
        <f>IFERROR(_xlfn.XLOOKUP(Table1[[#This Row],[product]],Table3[Original],Table3[Product_clean],,0,1),"Unknown")</f>
        <v>Laptop</v>
      </c>
      <c r="M304" s="6">
        <v>3</v>
      </c>
      <c r="N304">
        <f>IF(ISNUMBER(Table1[[#This Row],[quantity]]),Table1[[#This Row],[quantity]],IFERROR(VLOOKUP(Table1[[#This Row],[quantity]],Table5[#All],2,FALSE),"Unknown"))</f>
        <v>3</v>
      </c>
      <c r="P304" t="str">
        <f>IFERROR(VALUE(SUBSTITUTE(SUBSTITUTE(SUBSTITUTE(Table1[[#This Row],[revenue]],"EUR",""),"$",""),".",",")),"")</f>
        <v/>
      </c>
      <c r="R304" t="str">
        <f>IF(OR(Table1[[#This Row],[currency]]="EUR",Table1[[#This Row],[currency]]="€"),"EUR",IF(OR(Table1[[#This Row],[currency]]="USD",Table1[[#This Row],[currency]]="$"),"USD","Unknown"))</f>
        <v>Unknown</v>
      </c>
      <c r="S304" t="s">
        <v>23</v>
      </c>
      <c r="T304" t="str">
        <f>IFERROR(_xlfn.XLOOKUP(Table1[[#This Row],[order_status]],Table8[Original],Table8[Clean],,0,1),"Unknown")</f>
        <v>Delivered</v>
      </c>
      <c r="U304">
        <v>1</v>
      </c>
      <c r="V304">
        <f>IF(ISNUMBER(Table1[[#This Row],[delivery_days]]),Table1[[#This Row],[delivery_days]],IFERROR(_xlfn.XLOOKUP(Table1[[#This Row],[delivery_days]],Table57[Original],Table57[Clean],,0,1),"Unknown"))</f>
        <v>1</v>
      </c>
    </row>
    <row r="305" spans="1:23" x14ac:dyDescent="0.3">
      <c r="B305" t="str">
        <f>IF(ISBLANK(Table1[[#This Row],[order_id]]),"",IF(LEFT(Table1[[#This Row],[order_id]],3)="ORD",Table1[[#This Row],[order_id]],"ORD-" &amp; Table1[[#This Row],[order_id]]))</f>
        <v/>
      </c>
      <c r="C305" t="s">
        <v>129</v>
      </c>
      <c r="D305" s="1" t="str">
        <f>IFERROR(DATEVALUE(Table1[[#This Row],[order_date]]),"")</f>
        <v/>
      </c>
      <c r="E305" t="s">
        <v>712</v>
      </c>
      <c r="F305" t="str">
        <f>IF(ISBLANK(Table1[[#This Row],[customer_name]]),"Unknown Customer",PROPER(SUBSTITUTE(Table1[[#This Row],[customer_name]],"Cust.","Customer")))</f>
        <v>Customer 303</v>
      </c>
      <c r="G305" t="s">
        <v>54</v>
      </c>
      <c r="H305" t="str">
        <f>IFERROR(_xlfn.XLOOKUP(Table1[[#This Row],[region]],Mappings!$C$3:$C$8,Mappings!$D$3:$D$8,,0,1),"Unknown")</f>
        <v>USA</v>
      </c>
      <c r="I305" t="s">
        <v>14</v>
      </c>
      <c r="J305" t="str">
        <f>IFERROR(_xlfn.XLOOKUP(Table1[[#This Row],[sales_channel]],Table4[Original],Table4[Clean],,0,1),"Unknown")</f>
        <v>Online</v>
      </c>
      <c r="K305" t="s">
        <v>41</v>
      </c>
      <c r="L305" t="str">
        <f>IFERROR(_xlfn.XLOOKUP(Table1[[#This Row],[product]],Table3[Original],Table3[Product_clean],,0,1),"Unknown")</f>
        <v>Phone</v>
      </c>
      <c r="M305" s="6"/>
      <c r="N305" t="str">
        <f>IF(ISNUMBER(Table1[[#This Row],[quantity]]),Table1[[#This Row],[quantity]],IFERROR(VLOOKUP(Table1[[#This Row],[quantity]],Table5[#All],2,FALSE),"Unknown"))</f>
        <v>Unknown</v>
      </c>
      <c r="O305" t="s">
        <v>713</v>
      </c>
      <c r="P305">
        <f>IFERROR(VALUE(SUBSTITUTE(SUBSTITUTE(SUBSTITUTE(Table1[[#This Row],[revenue]],"EUR",""),"$",""),".",",")),"")</f>
        <v>2214.13</v>
      </c>
      <c r="R305" t="str">
        <f>IF(OR(Table1[[#This Row],[currency]]="EUR",Table1[[#This Row],[currency]]="€"),"EUR",IF(OR(Table1[[#This Row],[currency]]="USD",Table1[[#This Row],[currency]]="$"),"USD","Unknown"))</f>
        <v>Unknown</v>
      </c>
      <c r="S305" t="s">
        <v>35</v>
      </c>
      <c r="T305" t="str">
        <f>IFERROR(_xlfn.XLOOKUP(Table1[[#This Row],[order_status]],Table8[Original],Table8[Clean],,0,1),"Unknown")</f>
        <v>Returned</v>
      </c>
      <c r="U305">
        <v>2</v>
      </c>
      <c r="V305">
        <f>IF(ISNUMBER(Table1[[#This Row],[delivery_days]]),Table1[[#This Row],[delivery_days]],IFERROR(_xlfn.XLOOKUP(Table1[[#This Row],[delivery_days]],Table57[Original],Table57[Clean],,0,1),"Unknown"))</f>
        <v>2</v>
      </c>
    </row>
    <row r="306" spans="1:23" x14ac:dyDescent="0.3">
      <c r="A306" t="s">
        <v>714</v>
      </c>
      <c r="B306" t="str">
        <f>IF(ISBLANK(Table1[[#This Row],[order_id]]),"",IF(LEFT(Table1[[#This Row],[order_id]],3)="ORD",Table1[[#This Row],[order_id]],"ORD-" &amp; Table1[[#This Row],[order_id]]))</f>
        <v>ORD-1304</v>
      </c>
      <c r="C306" t="s">
        <v>715</v>
      </c>
      <c r="D306" s="1" t="str">
        <f>IFERROR(DATEVALUE(Table1[[#This Row],[order_date]]),"")</f>
        <v/>
      </c>
      <c r="F306" t="str">
        <f>IF(ISBLANK(Table1[[#This Row],[customer_name]]),"Unknown Customer",PROPER(SUBSTITUTE(Table1[[#This Row],[customer_name]],"Cust.","Customer")))</f>
        <v>Unknown Customer</v>
      </c>
      <c r="H306" t="str">
        <f>IFERROR(_xlfn.XLOOKUP(Table1[[#This Row],[region]],Mappings!$C$3:$C$8,Mappings!$D$3:$D$8,,0,1),"Unknown")</f>
        <v>Unknown</v>
      </c>
      <c r="I306" t="s">
        <v>27</v>
      </c>
      <c r="J306" t="str">
        <f>IFERROR(_xlfn.XLOOKUP(Table1[[#This Row],[sales_channel]],Table4[Original],Table4[Clean],,0,1),"Unknown")</f>
        <v>Online</v>
      </c>
      <c r="K306" t="s">
        <v>102</v>
      </c>
      <c r="L306" t="str">
        <f>IFERROR(_xlfn.XLOOKUP(Table1[[#This Row],[product]],Table3[Original],Table3[Product_clean],,0,1),"Unknown")</f>
        <v>Phone</v>
      </c>
      <c r="M306" s="6" t="s">
        <v>83</v>
      </c>
      <c r="N306">
        <f>IF(ISNUMBER(Table1[[#This Row],[quantity]]),Table1[[#This Row],[quantity]],IFERROR(VLOOKUP(Table1[[#This Row],[quantity]],Table5[#All],2,FALSE),"Unknown"))</f>
        <v>2</v>
      </c>
      <c r="O306" t="s">
        <v>716</v>
      </c>
      <c r="P306">
        <f>IFERROR(VALUE(SUBSTITUTE(SUBSTITUTE(SUBSTITUTE(Table1[[#This Row],[revenue]],"EUR",""),"$",""),".",",")),"")</f>
        <v>929.7</v>
      </c>
      <c r="Q306" t="s">
        <v>55</v>
      </c>
      <c r="R306" t="str">
        <f>IF(OR(Table1[[#This Row],[currency]]="EUR",Table1[[#This Row],[currency]]="€"),"EUR",IF(OR(Table1[[#This Row],[currency]]="USD",Table1[[#This Row],[currency]]="$"),"USD","Unknown"))</f>
        <v>EUR</v>
      </c>
      <c r="S306" t="s">
        <v>23</v>
      </c>
      <c r="T306" t="str">
        <f>IFERROR(_xlfn.XLOOKUP(Table1[[#This Row],[order_status]],Table8[Original],Table8[Clean],,0,1),"Unknown")</f>
        <v>Delivered</v>
      </c>
      <c r="U306">
        <v>2</v>
      </c>
      <c r="V306">
        <f>IF(ISNUMBER(Table1[[#This Row],[delivery_days]]),Table1[[#This Row],[delivery_days]],IFERROR(_xlfn.XLOOKUP(Table1[[#This Row],[delivery_days]],Table57[Original],Table57[Clean],,0,1),"Unknown"))</f>
        <v>2</v>
      </c>
    </row>
    <row r="307" spans="1:23" x14ac:dyDescent="0.3">
      <c r="A307">
        <v>1305</v>
      </c>
      <c r="B307" t="str">
        <f>IF(ISBLANK(Table1[[#This Row],[order_id]]),"",IF(LEFT(Table1[[#This Row],[order_id]],3)="ORD",Table1[[#This Row],[order_id]],"ORD-" &amp; Table1[[#This Row],[order_id]]))</f>
        <v>ORD-1305</v>
      </c>
      <c r="C307" t="s">
        <v>717</v>
      </c>
      <c r="D307" s="1">
        <f>IFERROR(DATEVALUE(Table1[[#This Row],[order_date]]),"")</f>
        <v>45301</v>
      </c>
      <c r="E307" t="s">
        <v>718</v>
      </c>
      <c r="F307" t="str">
        <f>IF(ISBLANK(Table1[[#This Row],[customer_name]]),"Unknown Customer",PROPER(SUBSTITUTE(Table1[[#This Row],[customer_name]],"Cust.","Customer")))</f>
        <v>Customer 305</v>
      </c>
      <c r="G307" t="s">
        <v>73</v>
      </c>
      <c r="H307" t="str">
        <f>IFERROR(_xlfn.XLOOKUP(Table1[[#This Row],[region]],Mappings!$C$3:$C$8,Mappings!$D$3:$D$8,,0,1),"Unknown")</f>
        <v>Europe</v>
      </c>
      <c r="I307" t="s">
        <v>50</v>
      </c>
      <c r="J307" t="str">
        <f>IFERROR(_xlfn.XLOOKUP(Table1[[#This Row],[sales_channel]],Table4[Original],Table4[Clean],,0,1),"Unknown")</f>
        <v>Mobile</v>
      </c>
      <c r="K307" t="s">
        <v>15</v>
      </c>
      <c r="L307" t="str">
        <f>IFERROR(_xlfn.XLOOKUP(Table1[[#This Row],[product]],Table3[Original],Table3[Product_clean],,0,1),"Unknown")</f>
        <v>Tablet</v>
      </c>
      <c r="M307" s="6">
        <v>1</v>
      </c>
      <c r="N307">
        <f>IF(ISNUMBER(Table1[[#This Row],[quantity]]),Table1[[#This Row],[quantity]],IFERROR(VLOOKUP(Table1[[#This Row],[quantity]],Table5[#All],2,FALSE),"Unknown"))</f>
        <v>1</v>
      </c>
      <c r="O307" t="s">
        <v>719</v>
      </c>
      <c r="P307">
        <f>IFERROR(VALUE(SUBSTITUTE(SUBSTITUTE(SUBSTITUTE(Table1[[#This Row],[revenue]],"EUR",""),"$",""),".",",")),"")</f>
        <v>723.83</v>
      </c>
      <c r="Q307" t="s">
        <v>22</v>
      </c>
      <c r="R307" t="str">
        <f>IF(OR(Table1[[#This Row],[currency]]="EUR",Table1[[#This Row],[currency]]="€"),"EUR",IF(OR(Table1[[#This Row],[currency]]="USD",Table1[[#This Row],[currency]]="$"),"USD","Unknown"))</f>
        <v>USD</v>
      </c>
      <c r="T307" t="str">
        <f>IFERROR(_xlfn.XLOOKUP(Table1[[#This Row],[order_status]],Table8[Original],Table8[Clean],,0,1),"Unknown")</f>
        <v>Unknown</v>
      </c>
      <c r="U307">
        <v>3</v>
      </c>
      <c r="V307">
        <f>IF(ISNUMBER(Table1[[#This Row],[delivery_days]]),Table1[[#This Row],[delivery_days]],IFERROR(_xlfn.XLOOKUP(Table1[[#This Row],[delivery_days]],Table57[Original],Table57[Clean],,0,1),"Unknown"))</f>
        <v>3</v>
      </c>
    </row>
    <row r="308" spans="1:23" x14ac:dyDescent="0.3">
      <c r="B308" t="str">
        <f>IF(ISBLANK(Table1[[#This Row],[order_id]]),"",IF(LEFT(Table1[[#This Row],[order_id]],3)="ORD",Table1[[#This Row],[order_id]],"ORD-" &amp; Table1[[#This Row],[order_id]]))</f>
        <v/>
      </c>
      <c r="C308" t="s">
        <v>720</v>
      </c>
      <c r="D308" s="1">
        <f>IFERROR(DATEVALUE(Table1[[#This Row],[order_date]]),"")</f>
        <v>45596</v>
      </c>
      <c r="E308" t="s">
        <v>721</v>
      </c>
      <c r="F308" t="str">
        <f>IF(ISBLANK(Table1[[#This Row],[customer_name]]),"Unknown Customer",PROPER(SUBSTITUTE(Table1[[#This Row],[customer_name]],"Cust.","Customer")))</f>
        <v>Customer 306</v>
      </c>
      <c r="H308" t="str">
        <f>IFERROR(_xlfn.XLOOKUP(Table1[[#This Row],[region]],Mappings!$C$3:$C$8,Mappings!$D$3:$D$8,,0,1),"Unknown")</f>
        <v>Unknown</v>
      </c>
      <c r="I308" t="s">
        <v>14</v>
      </c>
      <c r="J308" t="str">
        <f>IFERROR(_xlfn.XLOOKUP(Table1[[#This Row],[sales_channel]],Table4[Original],Table4[Clean],,0,1),"Unknown")</f>
        <v>Online</v>
      </c>
      <c r="K308" t="s">
        <v>41</v>
      </c>
      <c r="L308" t="str">
        <f>IFERROR(_xlfn.XLOOKUP(Table1[[#This Row],[product]],Table3[Original],Table3[Product_clean],,0,1),"Unknown")</f>
        <v>Phone</v>
      </c>
      <c r="M308" s="6" t="s">
        <v>83</v>
      </c>
      <c r="N308">
        <f>IF(ISNUMBER(Table1[[#This Row],[quantity]]),Table1[[#This Row],[quantity]],IFERROR(VLOOKUP(Table1[[#This Row],[quantity]],Table5[#All],2,FALSE),"Unknown"))</f>
        <v>2</v>
      </c>
      <c r="O308">
        <v>2984.31</v>
      </c>
      <c r="P308">
        <f>IFERROR(VALUE(SUBSTITUTE(SUBSTITUTE(SUBSTITUTE(Table1[[#This Row],[revenue]],"EUR",""),"$",""),".",",")),"")</f>
        <v>2984.31</v>
      </c>
      <c r="Q308" t="s">
        <v>22</v>
      </c>
      <c r="R308" t="str">
        <f>IF(OR(Table1[[#This Row],[currency]]="EUR",Table1[[#This Row],[currency]]="€"),"EUR",IF(OR(Table1[[#This Row],[currency]]="USD",Table1[[#This Row],[currency]]="$"),"USD","Unknown"))</f>
        <v>USD</v>
      </c>
      <c r="S308" t="s">
        <v>30</v>
      </c>
      <c r="T308" t="str">
        <f>IFERROR(_xlfn.XLOOKUP(Table1[[#This Row],[order_status]],Table8[Original],Table8[Clean],,0,1),"Unknown")</f>
        <v>Delivered</v>
      </c>
      <c r="U308" t="s">
        <v>36</v>
      </c>
      <c r="V308">
        <f>IF(ISNUMBER(Table1[[#This Row],[delivery_days]]),Table1[[#This Row],[delivery_days]],IFERROR(_xlfn.XLOOKUP(Table1[[#This Row],[delivery_days]],Table57[Original],Table57[Clean],,0,1),"Unknown"))</f>
        <v>5</v>
      </c>
      <c r="W308" t="s">
        <v>24</v>
      </c>
    </row>
    <row r="309" spans="1:23" x14ac:dyDescent="0.3">
      <c r="B309" t="str">
        <f>IF(ISBLANK(Table1[[#This Row],[order_id]]),"",IF(LEFT(Table1[[#This Row],[order_id]],3)="ORD",Table1[[#This Row],[order_id]],"ORD-" &amp; Table1[[#This Row],[order_id]]))</f>
        <v/>
      </c>
      <c r="C309" t="s">
        <v>722</v>
      </c>
      <c r="D309" s="1">
        <f>IFERROR(DATEVALUE(Table1[[#This Row],[order_date]]),"")</f>
        <v>45534</v>
      </c>
      <c r="E309" t="s">
        <v>723</v>
      </c>
      <c r="F309" t="str">
        <f>IF(ISBLANK(Table1[[#This Row],[customer_name]]),"Unknown Customer",PROPER(SUBSTITUTE(Table1[[#This Row],[customer_name]],"Cust.","Customer")))</f>
        <v>Customer 307</v>
      </c>
      <c r="G309" t="s">
        <v>32</v>
      </c>
      <c r="H309" t="str">
        <f>IFERROR(_xlfn.XLOOKUP(Table1[[#This Row],[region]],Mappings!$C$3:$C$8,Mappings!$D$3:$D$8,,0,1),"Unknown")</f>
        <v>Europe</v>
      </c>
      <c r="J309" t="str">
        <f>IFERROR(_xlfn.XLOOKUP(Table1[[#This Row],[sales_channel]],Table4[Original],Table4[Clean],,0,1),"Unknown")</f>
        <v>Unknown</v>
      </c>
      <c r="K309" t="s">
        <v>51</v>
      </c>
      <c r="L309" t="str">
        <f>IFERROR(_xlfn.XLOOKUP(Table1[[#This Row],[product]],Table3[Original],Table3[Product_clean],,0,1),"Unknown")</f>
        <v>Laptop</v>
      </c>
      <c r="M309" s="6"/>
      <c r="N309" t="str">
        <f>IF(ISNUMBER(Table1[[#This Row],[quantity]]),Table1[[#This Row],[quantity]],IFERROR(VLOOKUP(Table1[[#This Row],[quantity]],Table5[#All],2,FALSE),"Unknown"))</f>
        <v>Unknown</v>
      </c>
      <c r="O309" t="s">
        <v>724</v>
      </c>
      <c r="P309">
        <f>IFERROR(VALUE(SUBSTITUTE(SUBSTITUTE(SUBSTITUTE(Table1[[#This Row],[revenue]],"EUR",""),"$",""),".",",")),"")</f>
        <v>2120.5100000000002</v>
      </c>
      <c r="Q309" t="s">
        <v>55</v>
      </c>
      <c r="R309" t="str">
        <f>IF(OR(Table1[[#This Row],[currency]]="EUR",Table1[[#This Row],[currency]]="€"),"EUR",IF(OR(Table1[[#This Row],[currency]]="USD",Table1[[#This Row],[currency]]="$"),"USD","Unknown"))</f>
        <v>EUR</v>
      </c>
      <c r="S309" t="s">
        <v>18</v>
      </c>
      <c r="T309" t="str">
        <f>IFERROR(_xlfn.XLOOKUP(Table1[[#This Row],[order_status]],Table8[Original],Table8[Clean],,0,1),"Unknown")</f>
        <v>Pending</v>
      </c>
      <c r="U309" t="s">
        <v>36</v>
      </c>
      <c r="V309">
        <f>IF(ISNUMBER(Table1[[#This Row],[delivery_days]]),Table1[[#This Row],[delivery_days]],IFERROR(_xlfn.XLOOKUP(Table1[[#This Row],[delivery_days]],Table57[Original],Table57[Clean],,0,1),"Unknown"))</f>
        <v>5</v>
      </c>
      <c r="W309" t="s">
        <v>37</v>
      </c>
    </row>
    <row r="310" spans="1:23" x14ac:dyDescent="0.3">
      <c r="B310" t="str">
        <f>IF(ISBLANK(Table1[[#This Row],[order_id]]),"",IF(LEFT(Table1[[#This Row],[order_id]],3)="ORD",Table1[[#This Row],[order_id]],"ORD-" &amp; Table1[[#This Row],[order_id]]))</f>
        <v/>
      </c>
      <c r="C310" t="s">
        <v>725</v>
      </c>
      <c r="D310" s="1">
        <f>IFERROR(DATEVALUE(Table1[[#This Row],[order_date]]),"")</f>
        <v>45506</v>
      </c>
      <c r="E310" t="s">
        <v>726</v>
      </c>
      <c r="F310" t="str">
        <f>IF(ISBLANK(Table1[[#This Row],[customer_name]]),"Unknown Customer",PROPER(SUBSTITUTE(Table1[[#This Row],[customer_name]],"Cust.","Customer")))</f>
        <v>Customer 308</v>
      </c>
      <c r="G310" t="s">
        <v>73</v>
      </c>
      <c r="H310" t="str">
        <f>IFERROR(_xlfn.XLOOKUP(Table1[[#This Row],[region]],Mappings!$C$3:$C$8,Mappings!$D$3:$D$8,,0,1),"Unknown")</f>
        <v>Europe</v>
      </c>
      <c r="I310" t="s">
        <v>14</v>
      </c>
      <c r="J310" t="str">
        <f>IFERROR(_xlfn.XLOOKUP(Table1[[#This Row],[sales_channel]],Table4[Original],Table4[Clean],,0,1),"Unknown")</f>
        <v>Online</v>
      </c>
      <c r="K310" t="s">
        <v>41</v>
      </c>
      <c r="L310" t="str">
        <f>IFERROR(_xlfn.XLOOKUP(Table1[[#This Row],[product]],Table3[Original],Table3[Product_clean],,0,1),"Unknown")</f>
        <v>Phone</v>
      </c>
      <c r="M310" s="6">
        <v>2</v>
      </c>
      <c r="N310">
        <f>IF(ISNUMBER(Table1[[#This Row],[quantity]]),Table1[[#This Row],[quantity]],IFERROR(VLOOKUP(Table1[[#This Row],[quantity]],Table5[#All],2,FALSE),"Unknown"))</f>
        <v>2</v>
      </c>
      <c r="O310">
        <v>2500.4299999999998</v>
      </c>
      <c r="P310">
        <f>IFERROR(VALUE(SUBSTITUTE(SUBSTITUTE(SUBSTITUTE(Table1[[#This Row],[revenue]],"EUR",""),"$",""),".",",")),"")</f>
        <v>2500.4299999999998</v>
      </c>
      <c r="R310" t="str">
        <f>IF(OR(Table1[[#This Row],[currency]]="EUR",Table1[[#This Row],[currency]]="€"),"EUR",IF(OR(Table1[[#This Row],[currency]]="USD",Table1[[#This Row],[currency]]="$"),"USD","Unknown"))</f>
        <v>Unknown</v>
      </c>
      <c r="S310" t="s">
        <v>23</v>
      </c>
      <c r="T310" t="str">
        <f>IFERROR(_xlfn.XLOOKUP(Table1[[#This Row],[order_status]],Table8[Original],Table8[Clean],,0,1),"Unknown")</f>
        <v>Delivered</v>
      </c>
      <c r="U310">
        <v>3</v>
      </c>
      <c r="V310">
        <f>IF(ISNUMBER(Table1[[#This Row],[delivery_days]]),Table1[[#This Row],[delivery_days]],IFERROR(_xlfn.XLOOKUP(Table1[[#This Row],[delivery_days]],Table57[Original],Table57[Clean],,0,1),"Unknown"))</f>
        <v>3</v>
      </c>
      <c r="W310" t="s">
        <v>37</v>
      </c>
    </row>
    <row r="311" spans="1:23" x14ac:dyDescent="0.3">
      <c r="A311">
        <v>1309</v>
      </c>
      <c r="B311" t="str">
        <f>IF(ISBLANK(Table1[[#This Row],[order_id]]),"",IF(LEFT(Table1[[#This Row],[order_id]],3)="ORD",Table1[[#This Row],[order_id]],"ORD-" &amp; Table1[[#This Row],[order_id]]))</f>
        <v>ORD-1309</v>
      </c>
      <c r="C311" t="s">
        <v>727</v>
      </c>
      <c r="D311" s="1">
        <f>IFERROR(DATEVALUE(Table1[[#This Row],[order_date]]),"")</f>
        <v>45475</v>
      </c>
      <c r="F311" t="str">
        <f>IF(ISBLANK(Table1[[#This Row],[customer_name]]),"Unknown Customer",PROPER(SUBSTITUTE(Table1[[#This Row],[customer_name]],"Cust.","Customer")))</f>
        <v>Unknown Customer</v>
      </c>
      <c r="G311" t="s">
        <v>54</v>
      </c>
      <c r="H311" t="str">
        <f>IFERROR(_xlfn.XLOOKUP(Table1[[#This Row],[region]],Mappings!$C$3:$C$8,Mappings!$D$3:$D$8,,0,1),"Unknown")</f>
        <v>USA</v>
      </c>
      <c r="J311" t="str">
        <f>IFERROR(_xlfn.XLOOKUP(Table1[[#This Row],[sales_channel]],Table4[Original],Table4[Clean],,0,1),"Unknown")</f>
        <v>Unknown</v>
      </c>
      <c r="K311" t="s">
        <v>41</v>
      </c>
      <c r="L311" t="str">
        <f>IFERROR(_xlfn.XLOOKUP(Table1[[#This Row],[product]],Table3[Original],Table3[Product_clean],,0,1),"Unknown")</f>
        <v>Phone</v>
      </c>
      <c r="M311" s="6">
        <v>3</v>
      </c>
      <c r="N311">
        <f>IF(ISNUMBER(Table1[[#This Row],[quantity]]),Table1[[#This Row],[quantity]],IFERROR(VLOOKUP(Table1[[#This Row],[quantity]],Table5[#All],2,FALSE),"Unknown"))</f>
        <v>3</v>
      </c>
      <c r="O311" t="s">
        <v>728</v>
      </c>
      <c r="P311">
        <f>IFERROR(VALUE(SUBSTITUTE(SUBSTITUTE(SUBSTITUTE(Table1[[#This Row],[revenue]],"EUR",""),"$",""),".",",")),"")</f>
        <v>2125.14</v>
      </c>
      <c r="Q311" t="s">
        <v>58</v>
      </c>
      <c r="R311" t="str">
        <f>IF(OR(Table1[[#This Row],[currency]]="EUR",Table1[[#This Row],[currency]]="€"),"EUR",IF(OR(Table1[[#This Row],[currency]]="USD",Table1[[#This Row],[currency]]="$"),"USD","Unknown"))</f>
        <v>USD</v>
      </c>
      <c r="S311" t="s">
        <v>30</v>
      </c>
      <c r="T311" t="str">
        <f>IFERROR(_xlfn.XLOOKUP(Table1[[#This Row],[order_status]],Table8[Original],Table8[Clean],,0,1),"Unknown")</f>
        <v>Delivered</v>
      </c>
      <c r="U311">
        <v>1</v>
      </c>
      <c r="V311">
        <f>IF(ISNUMBER(Table1[[#This Row],[delivery_days]]),Table1[[#This Row],[delivery_days]],IFERROR(_xlfn.XLOOKUP(Table1[[#This Row],[delivery_days]],Table57[Original],Table57[Clean],,0,1),"Unknown"))</f>
        <v>1</v>
      </c>
    </row>
    <row r="312" spans="1:23" x14ac:dyDescent="0.3">
      <c r="A312">
        <v>1310</v>
      </c>
      <c r="B312" t="str">
        <f>IF(ISBLANK(Table1[[#This Row],[order_id]]),"",IF(LEFT(Table1[[#This Row],[order_id]],3)="ORD",Table1[[#This Row],[order_id]],"ORD-" &amp; Table1[[#This Row],[order_id]]))</f>
        <v>ORD-1310</v>
      </c>
      <c r="C312" t="s">
        <v>729</v>
      </c>
      <c r="D312" s="1">
        <f>IFERROR(DATEVALUE(Table1[[#This Row],[order_date]]),"")</f>
        <v>45348</v>
      </c>
      <c r="E312" t="s">
        <v>730</v>
      </c>
      <c r="F312" t="str">
        <f>IF(ISBLANK(Table1[[#This Row],[customer_name]]),"Unknown Customer",PROPER(SUBSTITUTE(Table1[[#This Row],[customer_name]],"Cust.","Customer")))</f>
        <v>Customer 310</v>
      </c>
      <c r="H312" t="str">
        <f>IFERROR(_xlfn.XLOOKUP(Table1[[#This Row],[region]],Mappings!$C$3:$C$8,Mappings!$D$3:$D$8,,0,1),"Unknown")</f>
        <v>Unknown</v>
      </c>
      <c r="J312" t="str">
        <f>IFERROR(_xlfn.XLOOKUP(Table1[[#This Row],[sales_channel]],Table4[Original],Table4[Clean],,0,1),"Unknown")</f>
        <v>Unknown</v>
      </c>
      <c r="K312" t="s">
        <v>51</v>
      </c>
      <c r="L312" t="str">
        <f>IFERROR(_xlfn.XLOOKUP(Table1[[#This Row],[product]],Table3[Original],Table3[Product_clean],,0,1),"Unknown")</f>
        <v>Laptop</v>
      </c>
      <c r="M312" s="6">
        <v>3</v>
      </c>
      <c r="N312">
        <f>IF(ISNUMBER(Table1[[#This Row],[quantity]]),Table1[[#This Row],[quantity]],IFERROR(VLOOKUP(Table1[[#This Row],[quantity]],Table5[#All],2,FALSE),"Unknown"))</f>
        <v>3</v>
      </c>
      <c r="P312" t="str">
        <f>IFERROR(VALUE(SUBSTITUTE(SUBSTITUTE(SUBSTITUTE(Table1[[#This Row],[revenue]],"EUR",""),"$",""),".",",")),"")</f>
        <v/>
      </c>
      <c r="Q312" t="s">
        <v>58</v>
      </c>
      <c r="R312" t="str">
        <f>IF(OR(Table1[[#This Row],[currency]]="EUR",Table1[[#This Row],[currency]]="€"),"EUR",IF(OR(Table1[[#This Row],[currency]]="USD",Table1[[#This Row],[currency]]="$"),"USD","Unknown"))</f>
        <v>USD</v>
      </c>
      <c r="S312" t="s">
        <v>47</v>
      </c>
      <c r="T312" t="str">
        <f>IFERROR(_xlfn.XLOOKUP(Table1[[#This Row],[order_status]],Table8[Original],Table8[Clean],,0,1),"Unknown")</f>
        <v>Returned</v>
      </c>
      <c r="U312">
        <v>3</v>
      </c>
      <c r="V312">
        <f>IF(ISNUMBER(Table1[[#This Row],[delivery_days]]),Table1[[#This Row],[delivery_days]],IFERROR(_xlfn.XLOOKUP(Table1[[#This Row],[delivery_days]],Table57[Original],Table57[Clean],,0,1),"Unknown"))</f>
        <v>3</v>
      </c>
      <c r="W312" t="s">
        <v>24</v>
      </c>
    </row>
    <row r="313" spans="1:23" x14ac:dyDescent="0.3">
      <c r="A313">
        <v>1311</v>
      </c>
      <c r="B313" t="str">
        <f>IF(ISBLANK(Table1[[#This Row],[order_id]]),"",IF(LEFT(Table1[[#This Row],[order_id]],3)="ORD",Table1[[#This Row],[order_id]],"ORD-" &amp; Table1[[#This Row],[order_id]]))</f>
        <v>ORD-1311</v>
      </c>
      <c r="C313" t="s">
        <v>731</v>
      </c>
      <c r="D313" s="1" t="str">
        <f>IFERROR(DATEVALUE(Table1[[#This Row],[order_date]]),"")</f>
        <v/>
      </c>
      <c r="E313" t="s">
        <v>732</v>
      </c>
      <c r="F313" t="str">
        <f>IF(ISBLANK(Table1[[#This Row],[customer_name]]),"Unknown Customer",PROPER(SUBSTITUTE(Table1[[#This Row],[customer_name]],"Cust.","Customer")))</f>
        <v>Customer 311</v>
      </c>
      <c r="H313" t="str">
        <f>IFERROR(_xlfn.XLOOKUP(Table1[[#This Row],[region]],Mappings!$C$3:$C$8,Mappings!$D$3:$D$8,,0,1),"Unknown")</f>
        <v>Unknown</v>
      </c>
      <c r="J313" t="str">
        <f>IFERROR(_xlfn.XLOOKUP(Table1[[#This Row],[sales_channel]],Table4[Original],Table4[Clean],,0,1),"Unknown")</f>
        <v>Unknown</v>
      </c>
      <c r="K313" t="s">
        <v>102</v>
      </c>
      <c r="L313" t="str">
        <f>IFERROR(_xlfn.XLOOKUP(Table1[[#This Row],[product]],Table3[Original],Table3[Product_clean],,0,1),"Unknown")</f>
        <v>Phone</v>
      </c>
      <c r="M313" s="6" t="s">
        <v>83</v>
      </c>
      <c r="N313">
        <f>IF(ISNUMBER(Table1[[#This Row],[quantity]]),Table1[[#This Row],[quantity]],IFERROR(VLOOKUP(Table1[[#This Row],[quantity]],Table5[#All],2,FALSE),"Unknown"))</f>
        <v>2</v>
      </c>
      <c r="O313" t="s">
        <v>733</v>
      </c>
      <c r="P313">
        <f>IFERROR(VALUE(SUBSTITUTE(SUBSTITUTE(SUBSTITUTE(Table1[[#This Row],[revenue]],"EUR",""),"$",""),".",",")),"")</f>
        <v>197.74</v>
      </c>
      <c r="Q313" t="s">
        <v>17</v>
      </c>
      <c r="R313" t="str">
        <f>IF(OR(Table1[[#This Row],[currency]]="EUR",Table1[[#This Row],[currency]]="€"),"EUR",IF(OR(Table1[[#This Row],[currency]]="USD",Table1[[#This Row],[currency]]="$"),"USD","Unknown"))</f>
        <v>EUR</v>
      </c>
      <c r="S313" t="s">
        <v>30</v>
      </c>
      <c r="T313" t="str">
        <f>IFERROR(_xlfn.XLOOKUP(Table1[[#This Row],[order_status]],Table8[Original],Table8[Clean],,0,1),"Unknown")</f>
        <v>Delivered</v>
      </c>
      <c r="U313">
        <v>1</v>
      </c>
      <c r="V313">
        <f>IF(ISNUMBER(Table1[[#This Row],[delivery_days]]),Table1[[#This Row],[delivery_days]],IFERROR(_xlfn.XLOOKUP(Table1[[#This Row],[delivery_days]],Table57[Original],Table57[Clean],,0,1),"Unknown"))</f>
        <v>1</v>
      </c>
    </row>
    <row r="314" spans="1:23" x14ac:dyDescent="0.3">
      <c r="A314" t="s">
        <v>734</v>
      </c>
      <c r="B314" t="str">
        <f>IF(ISBLANK(Table1[[#This Row],[order_id]]),"",IF(LEFT(Table1[[#This Row],[order_id]],3)="ORD",Table1[[#This Row],[order_id]],"ORD-" &amp; Table1[[#This Row],[order_id]]))</f>
        <v>ORD-1312</v>
      </c>
      <c r="C314" t="s">
        <v>735</v>
      </c>
      <c r="D314" s="1">
        <f>IFERROR(DATEVALUE(Table1[[#This Row],[order_date]]),"")</f>
        <v>45599</v>
      </c>
      <c r="F314" t="str">
        <f>IF(ISBLANK(Table1[[#This Row],[customer_name]]),"Unknown Customer",PROPER(SUBSTITUTE(Table1[[#This Row],[customer_name]],"Cust.","Customer")))</f>
        <v>Unknown Customer</v>
      </c>
      <c r="G314" t="s">
        <v>45</v>
      </c>
      <c r="H314" t="str">
        <f>IFERROR(_xlfn.XLOOKUP(Table1[[#This Row],[region]],Mappings!$C$3:$C$8,Mappings!$D$3:$D$8,,0,1),"Unknown")</f>
        <v>USA</v>
      </c>
      <c r="I314" t="s">
        <v>50</v>
      </c>
      <c r="J314" t="str">
        <f>IFERROR(_xlfn.XLOOKUP(Table1[[#This Row],[sales_channel]],Table4[Original],Table4[Clean],,0,1),"Unknown")</f>
        <v>Mobile</v>
      </c>
      <c r="K314" t="s">
        <v>15</v>
      </c>
      <c r="L314" t="str">
        <f>IFERROR(_xlfn.XLOOKUP(Table1[[#This Row],[product]],Table3[Original],Table3[Product_clean],,0,1),"Unknown")</f>
        <v>Tablet</v>
      </c>
      <c r="M314" s="6">
        <v>1</v>
      </c>
      <c r="N314">
        <f>IF(ISNUMBER(Table1[[#This Row],[quantity]]),Table1[[#This Row],[quantity]],IFERROR(VLOOKUP(Table1[[#This Row],[quantity]],Table5[#All],2,FALSE),"Unknown"))</f>
        <v>1</v>
      </c>
      <c r="O314" t="s">
        <v>736</v>
      </c>
      <c r="P314">
        <f>IFERROR(VALUE(SUBSTITUTE(SUBSTITUTE(SUBSTITUTE(Table1[[#This Row],[revenue]],"EUR",""),"$",""),".",",")),"")</f>
        <v>2006.9</v>
      </c>
      <c r="Q314" t="s">
        <v>55</v>
      </c>
      <c r="R314" t="str">
        <f>IF(OR(Table1[[#This Row],[currency]]="EUR",Table1[[#This Row],[currency]]="€"),"EUR",IF(OR(Table1[[#This Row],[currency]]="USD",Table1[[#This Row],[currency]]="$"),"USD","Unknown"))</f>
        <v>EUR</v>
      </c>
      <c r="S314" t="s">
        <v>35</v>
      </c>
      <c r="T314" t="str">
        <f>IFERROR(_xlfn.XLOOKUP(Table1[[#This Row],[order_status]],Table8[Original],Table8[Clean],,0,1),"Unknown")</f>
        <v>Returned</v>
      </c>
      <c r="U314">
        <v>2</v>
      </c>
      <c r="V314">
        <f>IF(ISNUMBER(Table1[[#This Row],[delivery_days]]),Table1[[#This Row],[delivery_days]],IFERROR(_xlfn.XLOOKUP(Table1[[#This Row],[delivery_days]],Table57[Original],Table57[Clean],,0,1),"Unknown"))</f>
        <v>2</v>
      </c>
    </row>
    <row r="315" spans="1:23" x14ac:dyDescent="0.3">
      <c r="A315" t="s">
        <v>737</v>
      </c>
      <c r="B315" t="str">
        <f>IF(ISBLANK(Table1[[#This Row],[order_id]]),"",IF(LEFT(Table1[[#This Row],[order_id]],3)="ORD",Table1[[#This Row],[order_id]],"ORD-" &amp; Table1[[#This Row],[order_id]]))</f>
        <v>ORD-1313</v>
      </c>
      <c r="D315" s="1" t="str">
        <f>IFERROR(DATEVALUE(Table1[[#This Row],[order_date]]),"")</f>
        <v/>
      </c>
      <c r="F315" t="str">
        <f>IF(ISBLANK(Table1[[#This Row],[customer_name]]),"Unknown Customer",PROPER(SUBSTITUTE(Table1[[#This Row],[customer_name]],"Cust.","Customer")))</f>
        <v>Unknown Customer</v>
      </c>
      <c r="H315" t="str">
        <f>IFERROR(_xlfn.XLOOKUP(Table1[[#This Row],[region]],Mappings!$C$3:$C$8,Mappings!$D$3:$D$8,,0,1),"Unknown")</f>
        <v>Unknown</v>
      </c>
      <c r="I315" t="s">
        <v>78</v>
      </c>
      <c r="J315" t="str">
        <f>IFERROR(_xlfn.XLOOKUP(Table1[[#This Row],[sales_channel]],Table4[Original],Table4[Clean],,0,1),"Unknown")</f>
        <v>Mobile</v>
      </c>
      <c r="K315" t="s">
        <v>15</v>
      </c>
      <c r="L315" t="str">
        <f>IFERROR(_xlfn.XLOOKUP(Table1[[#This Row],[product]],Table3[Original],Table3[Product_clean],,0,1),"Unknown")</f>
        <v>Tablet</v>
      </c>
      <c r="M315" s="6">
        <v>2</v>
      </c>
      <c r="N315">
        <f>IF(ISNUMBER(Table1[[#This Row],[quantity]]),Table1[[#This Row],[quantity]],IFERROR(VLOOKUP(Table1[[#This Row],[quantity]],Table5[#All],2,FALSE),"Unknown"))</f>
        <v>2</v>
      </c>
      <c r="P315" t="str">
        <f>IFERROR(VALUE(SUBSTITUTE(SUBSTITUTE(SUBSTITUTE(Table1[[#This Row],[revenue]],"EUR",""),"$",""),".",",")),"")</f>
        <v/>
      </c>
      <c r="Q315" t="s">
        <v>17</v>
      </c>
      <c r="R315" t="str">
        <f>IF(OR(Table1[[#This Row],[currency]]="EUR",Table1[[#This Row],[currency]]="€"),"EUR",IF(OR(Table1[[#This Row],[currency]]="USD",Table1[[#This Row],[currency]]="$"),"USD","Unknown"))</f>
        <v>EUR</v>
      </c>
      <c r="S315" t="s">
        <v>23</v>
      </c>
      <c r="T315" t="str">
        <f>IFERROR(_xlfn.XLOOKUP(Table1[[#This Row],[order_status]],Table8[Original],Table8[Clean],,0,1),"Unknown")</f>
        <v>Delivered</v>
      </c>
      <c r="V315" t="str">
        <f>IF(ISNUMBER(Table1[[#This Row],[delivery_days]]),Table1[[#This Row],[delivery_days]],IFERROR(_xlfn.XLOOKUP(Table1[[#This Row],[delivery_days]],Table57[Original],Table57[Clean],,0,1),"Unknown"))</f>
        <v>Unknown</v>
      </c>
    </row>
    <row r="316" spans="1:23" x14ac:dyDescent="0.3">
      <c r="B316" t="str">
        <f>IF(ISBLANK(Table1[[#This Row],[order_id]]),"",IF(LEFT(Table1[[#This Row],[order_id]],3)="ORD",Table1[[#This Row],[order_id]],"ORD-" &amp; Table1[[#This Row],[order_id]]))</f>
        <v/>
      </c>
      <c r="D316" s="1" t="str">
        <f>IFERROR(DATEVALUE(Table1[[#This Row],[order_date]]),"")</f>
        <v/>
      </c>
      <c r="E316" t="s">
        <v>738</v>
      </c>
      <c r="F316" t="str">
        <f>IF(ISBLANK(Table1[[#This Row],[customer_name]]),"Unknown Customer",PROPER(SUBSTITUTE(Table1[[#This Row],[customer_name]],"Cust.","Customer")))</f>
        <v>Customer 314</v>
      </c>
      <c r="G316" t="s">
        <v>45</v>
      </c>
      <c r="H316" t="str">
        <f>IFERROR(_xlfn.XLOOKUP(Table1[[#This Row],[region]],Mappings!$C$3:$C$8,Mappings!$D$3:$D$8,,0,1),"Unknown")</f>
        <v>USA</v>
      </c>
      <c r="I316" t="s">
        <v>78</v>
      </c>
      <c r="J316" t="str">
        <f>IFERROR(_xlfn.XLOOKUP(Table1[[#This Row],[sales_channel]],Table4[Original],Table4[Clean],,0,1),"Unknown")</f>
        <v>Mobile</v>
      </c>
      <c r="L316" t="str">
        <f>IFERROR(_xlfn.XLOOKUP(Table1[[#This Row],[product]],Table3[Original],Table3[Product_clean],,0,1),"Unknown")</f>
        <v>Unknown</v>
      </c>
      <c r="M316" s="6">
        <v>3</v>
      </c>
      <c r="N316">
        <f>IF(ISNUMBER(Table1[[#This Row],[quantity]]),Table1[[#This Row],[quantity]],IFERROR(VLOOKUP(Table1[[#This Row],[quantity]],Table5[#All],2,FALSE),"Unknown"))</f>
        <v>3</v>
      </c>
      <c r="P316" t="str">
        <f>IFERROR(VALUE(SUBSTITUTE(SUBSTITUTE(SUBSTITUTE(Table1[[#This Row],[revenue]],"EUR",""),"$",""),".",",")),"")</f>
        <v/>
      </c>
      <c r="R316" t="str">
        <f>IF(OR(Table1[[#This Row],[currency]]="EUR",Table1[[#This Row],[currency]]="€"),"EUR",IF(OR(Table1[[#This Row],[currency]]="USD",Table1[[#This Row],[currency]]="$"),"USD","Unknown"))</f>
        <v>Unknown</v>
      </c>
      <c r="S316" t="s">
        <v>30</v>
      </c>
      <c r="T316" t="str">
        <f>IFERROR(_xlfn.XLOOKUP(Table1[[#This Row],[order_status]],Table8[Original],Table8[Clean],,0,1),"Unknown")</f>
        <v>Delivered</v>
      </c>
      <c r="V316" t="str">
        <f>IF(ISNUMBER(Table1[[#This Row],[delivery_days]]),Table1[[#This Row],[delivery_days]],IFERROR(_xlfn.XLOOKUP(Table1[[#This Row],[delivery_days]],Table57[Original],Table57[Clean],,0,1),"Unknown"))</f>
        <v>Unknown</v>
      </c>
      <c r="W316" t="s">
        <v>37</v>
      </c>
    </row>
    <row r="317" spans="1:23" x14ac:dyDescent="0.3">
      <c r="A317" t="s">
        <v>739</v>
      </c>
      <c r="B317" t="str">
        <f>IF(ISBLANK(Table1[[#This Row],[order_id]]),"",IF(LEFT(Table1[[#This Row],[order_id]],3)="ORD",Table1[[#This Row],[order_id]],"ORD-" &amp; Table1[[#This Row],[order_id]]))</f>
        <v>ORD-1315</v>
      </c>
      <c r="D317" s="1" t="str">
        <f>IFERROR(DATEVALUE(Table1[[#This Row],[order_date]]),"")</f>
        <v/>
      </c>
      <c r="E317" t="s">
        <v>740</v>
      </c>
      <c r="F317" t="str">
        <f>IF(ISBLANK(Table1[[#This Row],[customer_name]]),"Unknown Customer",PROPER(SUBSTITUTE(Table1[[#This Row],[customer_name]],"Cust.","Customer")))</f>
        <v>Customer 315</v>
      </c>
      <c r="G317" t="s">
        <v>73</v>
      </c>
      <c r="H317" t="str">
        <f>IFERROR(_xlfn.XLOOKUP(Table1[[#This Row],[region]],Mappings!$C$3:$C$8,Mappings!$D$3:$D$8,,0,1),"Unknown")</f>
        <v>Europe</v>
      </c>
      <c r="I317" t="s">
        <v>50</v>
      </c>
      <c r="J317" t="str">
        <f>IFERROR(_xlfn.XLOOKUP(Table1[[#This Row],[sales_channel]],Table4[Original],Table4[Clean],,0,1),"Unknown")</f>
        <v>Mobile</v>
      </c>
      <c r="K317" t="s">
        <v>15</v>
      </c>
      <c r="L317" t="str">
        <f>IFERROR(_xlfn.XLOOKUP(Table1[[#This Row],[product]],Table3[Original],Table3[Product_clean],,0,1),"Unknown")</f>
        <v>Tablet</v>
      </c>
      <c r="M317" s="6">
        <v>3</v>
      </c>
      <c r="N317">
        <f>IF(ISNUMBER(Table1[[#This Row],[quantity]]),Table1[[#This Row],[quantity]],IFERROR(VLOOKUP(Table1[[#This Row],[quantity]],Table5[#All],2,FALSE),"Unknown"))</f>
        <v>3</v>
      </c>
      <c r="O317">
        <v>2765.17</v>
      </c>
      <c r="P317">
        <f>IFERROR(VALUE(SUBSTITUTE(SUBSTITUTE(SUBSTITUTE(Table1[[#This Row],[revenue]],"EUR",""),"$",""),".",",")),"")</f>
        <v>2765.17</v>
      </c>
      <c r="Q317" t="s">
        <v>17</v>
      </c>
      <c r="R317" t="str">
        <f>IF(OR(Table1[[#This Row],[currency]]="EUR",Table1[[#This Row],[currency]]="€"),"EUR",IF(OR(Table1[[#This Row],[currency]]="USD",Table1[[#This Row],[currency]]="$"),"USD","Unknown"))</f>
        <v>EUR</v>
      </c>
      <c r="T317" t="str">
        <f>IFERROR(_xlfn.XLOOKUP(Table1[[#This Row],[order_status]],Table8[Original],Table8[Clean],,0,1),"Unknown")</f>
        <v>Unknown</v>
      </c>
      <c r="V317" t="str">
        <f>IF(ISNUMBER(Table1[[#This Row],[delivery_days]]),Table1[[#This Row],[delivery_days]],IFERROR(_xlfn.XLOOKUP(Table1[[#This Row],[delivery_days]],Table57[Original],Table57[Clean],,0,1),"Unknown"))</f>
        <v>Unknown</v>
      </c>
      <c r="W317" t="s">
        <v>37</v>
      </c>
    </row>
    <row r="318" spans="1:23" x14ac:dyDescent="0.3">
      <c r="A318" t="s">
        <v>741</v>
      </c>
      <c r="B318" t="str">
        <f>IF(ISBLANK(Table1[[#This Row],[order_id]]),"",IF(LEFT(Table1[[#This Row],[order_id]],3)="ORD",Table1[[#This Row],[order_id]],"ORD-" &amp; Table1[[#This Row],[order_id]]))</f>
        <v>ORD-1316</v>
      </c>
      <c r="C318" t="s">
        <v>742</v>
      </c>
      <c r="D318" s="1">
        <f>IFERROR(DATEVALUE(Table1[[#This Row],[order_date]]),"")</f>
        <v>45634</v>
      </c>
      <c r="F318" t="str">
        <f>IF(ISBLANK(Table1[[#This Row],[customer_name]]),"Unknown Customer",PROPER(SUBSTITUTE(Table1[[#This Row],[customer_name]],"Cust.","Customer")))</f>
        <v>Unknown Customer</v>
      </c>
      <c r="G318" t="s">
        <v>26</v>
      </c>
      <c r="H318" t="str">
        <f>IFERROR(_xlfn.XLOOKUP(Table1[[#This Row],[region]],Mappings!$C$3:$C$8,Mappings!$D$3:$D$8,,0,1),"Unknown")</f>
        <v>Asia</v>
      </c>
      <c r="J318" t="str">
        <f>IFERROR(_xlfn.XLOOKUP(Table1[[#This Row],[sales_channel]],Table4[Original],Table4[Clean],,0,1),"Unknown")</f>
        <v>Unknown</v>
      </c>
      <c r="K318" t="s">
        <v>15</v>
      </c>
      <c r="L318" t="str">
        <f>IFERROR(_xlfn.XLOOKUP(Table1[[#This Row],[product]],Table3[Original],Table3[Product_clean],,0,1),"Unknown")</f>
        <v>Tablet</v>
      </c>
      <c r="M318" s="6" t="s">
        <v>83</v>
      </c>
      <c r="N318">
        <f>IF(ISNUMBER(Table1[[#This Row],[quantity]]),Table1[[#This Row],[quantity]],IFERROR(VLOOKUP(Table1[[#This Row],[quantity]],Table5[#All],2,FALSE),"Unknown"))</f>
        <v>2</v>
      </c>
      <c r="O318">
        <v>2625.77</v>
      </c>
      <c r="P318">
        <f>IFERROR(VALUE(SUBSTITUTE(SUBSTITUTE(SUBSTITUTE(Table1[[#This Row],[revenue]],"EUR",""),"$",""),".",",")),"")</f>
        <v>2625.77</v>
      </c>
      <c r="Q318" t="s">
        <v>58</v>
      </c>
      <c r="R318" t="str">
        <f>IF(OR(Table1[[#This Row],[currency]]="EUR",Table1[[#This Row],[currency]]="€"),"EUR",IF(OR(Table1[[#This Row],[currency]]="USD",Table1[[#This Row],[currency]]="$"),"USD","Unknown"))</f>
        <v>USD</v>
      </c>
      <c r="S318" t="s">
        <v>18</v>
      </c>
      <c r="T318" t="str">
        <f>IFERROR(_xlfn.XLOOKUP(Table1[[#This Row],[order_status]],Table8[Original],Table8[Clean],,0,1),"Unknown")</f>
        <v>Pending</v>
      </c>
      <c r="U318" t="s">
        <v>36</v>
      </c>
      <c r="V318">
        <f>IF(ISNUMBER(Table1[[#This Row],[delivery_days]]),Table1[[#This Row],[delivery_days]],IFERROR(_xlfn.XLOOKUP(Table1[[#This Row],[delivery_days]],Table57[Original],Table57[Clean],,0,1),"Unknown"))</f>
        <v>5</v>
      </c>
    </row>
    <row r="319" spans="1:23" x14ac:dyDescent="0.3">
      <c r="B319" t="str">
        <f>IF(ISBLANK(Table1[[#This Row],[order_id]]),"",IF(LEFT(Table1[[#This Row],[order_id]],3)="ORD",Table1[[#This Row],[order_id]],"ORD-" &amp; Table1[[#This Row],[order_id]]))</f>
        <v/>
      </c>
      <c r="D319" s="1" t="str">
        <f>IFERROR(DATEVALUE(Table1[[#This Row],[order_date]]),"")</f>
        <v/>
      </c>
      <c r="F319" t="str">
        <f>IF(ISBLANK(Table1[[#This Row],[customer_name]]),"Unknown Customer",PROPER(SUBSTITUTE(Table1[[#This Row],[customer_name]],"Cust.","Customer")))</f>
        <v>Unknown Customer</v>
      </c>
      <c r="H319" t="str">
        <f>IFERROR(_xlfn.XLOOKUP(Table1[[#This Row],[region]],Mappings!$C$3:$C$8,Mappings!$D$3:$D$8,,0,1),"Unknown")</f>
        <v>Unknown</v>
      </c>
      <c r="I319" t="s">
        <v>27</v>
      </c>
      <c r="J319" t="str">
        <f>IFERROR(_xlfn.XLOOKUP(Table1[[#This Row],[sales_channel]],Table4[Original],Table4[Clean],,0,1),"Unknown")</f>
        <v>Online</v>
      </c>
      <c r="K319" t="s">
        <v>51</v>
      </c>
      <c r="L319" t="str">
        <f>IFERROR(_xlfn.XLOOKUP(Table1[[#This Row],[product]],Table3[Original],Table3[Product_clean],,0,1),"Unknown")</f>
        <v>Laptop</v>
      </c>
      <c r="M319" s="6" t="s">
        <v>83</v>
      </c>
      <c r="N319">
        <f>IF(ISNUMBER(Table1[[#This Row],[quantity]]),Table1[[#This Row],[quantity]],IFERROR(VLOOKUP(Table1[[#This Row],[quantity]],Table5[#All],2,FALSE),"Unknown"))</f>
        <v>2</v>
      </c>
      <c r="O319" t="s">
        <v>743</v>
      </c>
      <c r="P319">
        <f>IFERROR(VALUE(SUBSTITUTE(SUBSTITUTE(SUBSTITUTE(Table1[[#This Row],[revenue]],"EUR",""),"$",""),".",",")),"")</f>
        <v>1948.03</v>
      </c>
      <c r="Q319" t="s">
        <v>55</v>
      </c>
      <c r="R319" t="str">
        <f>IF(OR(Table1[[#This Row],[currency]]="EUR",Table1[[#This Row],[currency]]="€"),"EUR",IF(OR(Table1[[#This Row],[currency]]="USD",Table1[[#This Row],[currency]]="$"),"USD","Unknown"))</f>
        <v>EUR</v>
      </c>
      <c r="S319" t="s">
        <v>23</v>
      </c>
      <c r="T319" t="str">
        <f>IFERROR(_xlfn.XLOOKUP(Table1[[#This Row],[order_status]],Table8[Original],Table8[Clean],,0,1),"Unknown")</f>
        <v>Delivered</v>
      </c>
      <c r="U319">
        <v>3</v>
      </c>
      <c r="V319">
        <f>IF(ISNUMBER(Table1[[#This Row],[delivery_days]]),Table1[[#This Row],[delivery_days]],IFERROR(_xlfn.XLOOKUP(Table1[[#This Row],[delivery_days]],Table57[Original],Table57[Clean],,0,1),"Unknown"))</f>
        <v>3</v>
      </c>
      <c r="W319" t="s">
        <v>24</v>
      </c>
    </row>
    <row r="320" spans="1:23" x14ac:dyDescent="0.3">
      <c r="A320" t="s">
        <v>744</v>
      </c>
      <c r="B320" t="str">
        <f>IF(ISBLANK(Table1[[#This Row],[order_id]]),"",IF(LEFT(Table1[[#This Row],[order_id]],3)="ORD",Table1[[#This Row],[order_id]],"ORD-" &amp; Table1[[#This Row],[order_id]]))</f>
        <v>ORD-1318</v>
      </c>
      <c r="C320" t="s">
        <v>687</v>
      </c>
      <c r="D320" s="1">
        <f>IFERROR(DATEVALUE(Table1[[#This Row],[order_date]]),"")</f>
        <v>45317</v>
      </c>
      <c r="E320" t="s">
        <v>745</v>
      </c>
      <c r="F320" t="str">
        <f>IF(ISBLANK(Table1[[#This Row],[customer_name]]),"Unknown Customer",PROPER(SUBSTITUTE(Table1[[#This Row],[customer_name]],"Cust.","Customer")))</f>
        <v>Customer 318</v>
      </c>
      <c r="G320" t="s">
        <v>32</v>
      </c>
      <c r="H320" t="str">
        <f>IFERROR(_xlfn.XLOOKUP(Table1[[#This Row],[region]],Mappings!$C$3:$C$8,Mappings!$D$3:$D$8,,0,1),"Unknown")</f>
        <v>Europe</v>
      </c>
      <c r="I320" t="s">
        <v>78</v>
      </c>
      <c r="J320" t="str">
        <f>IFERROR(_xlfn.XLOOKUP(Table1[[#This Row],[sales_channel]],Table4[Original],Table4[Clean],,0,1),"Unknown")</f>
        <v>Mobile</v>
      </c>
      <c r="L320" t="str">
        <f>IFERROR(_xlfn.XLOOKUP(Table1[[#This Row],[product]],Table3[Original],Table3[Product_clean],,0,1),"Unknown")</f>
        <v>Unknown</v>
      </c>
      <c r="M320" s="6"/>
      <c r="N320" t="str">
        <f>IF(ISNUMBER(Table1[[#This Row],[quantity]]),Table1[[#This Row],[quantity]],IFERROR(VLOOKUP(Table1[[#This Row],[quantity]],Table5[#All],2,FALSE),"Unknown"))</f>
        <v>Unknown</v>
      </c>
      <c r="P320" t="str">
        <f>IFERROR(VALUE(SUBSTITUTE(SUBSTITUTE(SUBSTITUTE(Table1[[#This Row],[revenue]],"EUR",""),"$",""),".",",")),"")</f>
        <v/>
      </c>
      <c r="Q320" t="s">
        <v>22</v>
      </c>
      <c r="R320" t="str">
        <f>IF(OR(Table1[[#This Row],[currency]]="EUR",Table1[[#This Row],[currency]]="€"),"EUR",IF(OR(Table1[[#This Row],[currency]]="USD",Table1[[#This Row],[currency]]="$"),"USD","Unknown"))</f>
        <v>USD</v>
      </c>
      <c r="S320" t="s">
        <v>30</v>
      </c>
      <c r="T320" t="str">
        <f>IFERROR(_xlfn.XLOOKUP(Table1[[#This Row],[order_status]],Table8[Original],Table8[Clean],,0,1),"Unknown")</f>
        <v>Delivered</v>
      </c>
      <c r="U320">
        <v>5</v>
      </c>
      <c r="V320">
        <f>IF(ISNUMBER(Table1[[#This Row],[delivery_days]]),Table1[[#This Row],[delivery_days]],IFERROR(_xlfn.XLOOKUP(Table1[[#This Row],[delivery_days]],Table57[Original],Table57[Clean],,0,1),"Unknown"))</f>
        <v>5</v>
      </c>
    </row>
    <row r="321" spans="1:23" x14ac:dyDescent="0.3">
      <c r="B321" t="str">
        <f>IF(ISBLANK(Table1[[#This Row],[order_id]]),"",IF(LEFT(Table1[[#This Row],[order_id]],3)="ORD",Table1[[#This Row],[order_id]],"ORD-" &amp; Table1[[#This Row],[order_id]]))</f>
        <v/>
      </c>
      <c r="C321" t="s">
        <v>746</v>
      </c>
      <c r="D321" s="1">
        <f>IFERROR(DATEVALUE(Table1[[#This Row],[order_date]]),"")</f>
        <v>45453</v>
      </c>
      <c r="E321" t="s">
        <v>747</v>
      </c>
      <c r="F321" t="str">
        <f>IF(ISBLANK(Table1[[#This Row],[customer_name]]),"Unknown Customer",PROPER(SUBSTITUTE(Table1[[#This Row],[customer_name]],"Cust.","Customer")))</f>
        <v>Customer 319</v>
      </c>
      <c r="G321" t="s">
        <v>32</v>
      </c>
      <c r="H321" t="str">
        <f>IFERROR(_xlfn.XLOOKUP(Table1[[#This Row],[region]],Mappings!$C$3:$C$8,Mappings!$D$3:$D$8,,0,1),"Unknown")</f>
        <v>Europe</v>
      </c>
      <c r="I321" t="s">
        <v>78</v>
      </c>
      <c r="J321" t="str">
        <f>IFERROR(_xlfn.XLOOKUP(Table1[[#This Row],[sales_channel]],Table4[Original],Table4[Clean],,0,1),"Unknown")</f>
        <v>Mobile</v>
      </c>
      <c r="K321" t="s">
        <v>51</v>
      </c>
      <c r="L321" t="str">
        <f>IFERROR(_xlfn.XLOOKUP(Table1[[#This Row],[product]],Table3[Original],Table3[Product_clean],,0,1),"Unknown")</f>
        <v>Laptop</v>
      </c>
      <c r="M321" s="6"/>
      <c r="N321" t="str">
        <f>IF(ISNUMBER(Table1[[#This Row],[quantity]]),Table1[[#This Row],[quantity]],IFERROR(VLOOKUP(Table1[[#This Row],[quantity]],Table5[#All],2,FALSE),"Unknown"))</f>
        <v>Unknown</v>
      </c>
      <c r="P321" t="str">
        <f>IFERROR(VALUE(SUBSTITUTE(SUBSTITUTE(SUBSTITUTE(Table1[[#This Row],[revenue]],"EUR",""),"$",""),".",",")),"")</f>
        <v/>
      </c>
      <c r="R321" t="str">
        <f>IF(OR(Table1[[#This Row],[currency]]="EUR",Table1[[#This Row],[currency]]="€"),"EUR",IF(OR(Table1[[#This Row],[currency]]="USD",Table1[[#This Row],[currency]]="$"),"USD","Unknown"))</f>
        <v>Unknown</v>
      </c>
      <c r="S321" t="s">
        <v>30</v>
      </c>
      <c r="T321" t="str">
        <f>IFERROR(_xlfn.XLOOKUP(Table1[[#This Row],[order_status]],Table8[Original],Table8[Clean],,0,1),"Unknown")</f>
        <v>Delivered</v>
      </c>
      <c r="U321">
        <v>1</v>
      </c>
      <c r="V321">
        <f>IF(ISNUMBER(Table1[[#This Row],[delivery_days]]),Table1[[#This Row],[delivery_days]],IFERROR(_xlfn.XLOOKUP(Table1[[#This Row],[delivery_days]],Table57[Original],Table57[Clean],,0,1),"Unknown"))</f>
        <v>1</v>
      </c>
      <c r="W321" t="s">
        <v>24</v>
      </c>
    </row>
    <row r="322" spans="1:23" x14ac:dyDescent="0.3">
      <c r="A322" t="s">
        <v>748</v>
      </c>
      <c r="B322" t="str">
        <f>IF(ISBLANK(Table1[[#This Row],[order_id]]),"",IF(LEFT(Table1[[#This Row],[order_id]],3)="ORD",Table1[[#This Row],[order_id]],"ORD-" &amp; Table1[[#This Row],[order_id]]))</f>
        <v>ORD-1320</v>
      </c>
      <c r="C322" t="s">
        <v>749</v>
      </c>
      <c r="D322" s="1" t="str">
        <f>IFERROR(DATEVALUE(Table1[[#This Row],[order_date]]),"")</f>
        <v/>
      </c>
      <c r="E322" t="s">
        <v>750</v>
      </c>
      <c r="F322" t="str">
        <f>IF(ISBLANK(Table1[[#This Row],[customer_name]]),"Unknown Customer",PROPER(SUBSTITUTE(Table1[[#This Row],[customer_name]],"Cust.","Customer")))</f>
        <v>Customer 320</v>
      </c>
      <c r="H322" t="str">
        <f>IFERROR(_xlfn.XLOOKUP(Table1[[#This Row],[region]],Mappings!$C$3:$C$8,Mappings!$D$3:$D$8,,0,1),"Unknown")</f>
        <v>Unknown</v>
      </c>
      <c r="I322" t="s">
        <v>27</v>
      </c>
      <c r="J322" t="str">
        <f>IFERROR(_xlfn.XLOOKUP(Table1[[#This Row],[sales_channel]],Table4[Original],Table4[Clean],,0,1),"Unknown")</f>
        <v>Online</v>
      </c>
      <c r="L322" t="str">
        <f>IFERROR(_xlfn.XLOOKUP(Table1[[#This Row],[product]],Table3[Original],Table3[Product_clean],,0,1),"Unknown")</f>
        <v>Unknown</v>
      </c>
      <c r="M322" s="6" t="s">
        <v>83</v>
      </c>
      <c r="N322">
        <f>IF(ISNUMBER(Table1[[#This Row],[quantity]]),Table1[[#This Row],[quantity]],IFERROR(VLOOKUP(Table1[[#This Row],[quantity]],Table5[#All],2,FALSE),"Unknown"))</f>
        <v>2</v>
      </c>
      <c r="P322" t="str">
        <f>IFERROR(VALUE(SUBSTITUTE(SUBSTITUTE(SUBSTITUTE(Table1[[#This Row],[revenue]],"EUR",""),"$",""),".",",")),"")</f>
        <v/>
      </c>
      <c r="Q322" t="s">
        <v>55</v>
      </c>
      <c r="R322" t="str">
        <f>IF(OR(Table1[[#This Row],[currency]]="EUR",Table1[[#This Row],[currency]]="€"),"EUR",IF(OR(Table1[[#This Row],[currency]]="USD",Table1[[#This Row],[currency]]="$"),"USD","Unknown"))</f>
        <v>EUR</v>
      </c>
      <c r="S322" t="s">
        <v>18</v>
      </c>
      <c r="T322" t="str">
        <f>IFERROR(_xlfn.XLOOKUP(Table1[[#This Row],[order_status]],Table8[Original],Table8[Clean],,0,1),"Unknown")</f>
        <v>Pending</v>
      </c>
      <c r="U322" t="s">
        <v>36</v>
      </c>
      <c r="V322">
        <f>IF(ISNUMBER(Table1[[#This Row],[delivery_days]]),Table1[[#This Row],[delivery_days]],IFERROR(_xlfn.XLOOKUP(Table1[[#This Row],[delivery_days]],Table57[Original],Table57[Clean],,0,1),"Unknown"))</f>
        <v>5</v>
      </c>
    </row>
    <row r="323" spans="1:23" x14ac:dyDescent="0.3">
      <c r="A323">
        <v>1321</v>
      </c>
      <c r="B323" t="str">
        <f>IF(ISBLANK(Table1[[#This Row],[order_id]]),"",IF(LEFT(Table1[[#This Row],[order_id]],3)="ORD",Table1[[#This Row],[order_id]],"ORD-" &amp; Table1[[#This Row],[order_id]]))</f>
        <v>ORD-1321</v>
      </c>
      <c r="C323" t="s">
        <v>751</v>
      </c>
      <c r="D323" s="1">
        <f>IFERROR(DATEVALUE(Table1[[#This Row],[order_date]]),"")</f>
        <v>45658</v>
      </c>
      <c r="E323" t="s">
        <v>752</v>
      </c>
      <c r="F323" t="str">
        <f>IF(ISBLANK(Table1[[#This Row],[customer_name]]),"Unknown Customer",PROPER(SUBSTITUTE(Table1[[#This Row],[customer_name]],"Cust.","Customer")))</f>
        <v>Customer 321</v>
      </c>
      <c r="G323" t="s">
        <v>73</v>
      </c>
      <c r="H323" t="str">
        <f>IFERROR(_xlfn.XLOOKUP(Table1[[#This Row],[region]],Mappings!$C$3:$C$8,Mappings!$D$3:$D$8,,0,1),"Unknown")</f>
        <v>Europe</v>
      </c>
      <c r="I323" t="s">
        <v>50</v>
      </c>
      <c r="J323" t="str">
        <f>IFERROR(_xlfn.XLOOKUP(Table1[[#This Row],[sales_channel]],Table4[Original],Table4[Clean],,0,1),"Unknown")</f>
        <v>Mobile</v>
      </c>
      <c r="K323" t="s">
        <v>102</v>
      </c>
      <c r="L323" t="str">
        <f>IFERROR(_xlfn.XLOOKUP(Table1[[#This Row],[product]],Table3[Original],Table3[Product_clean],,0,1),"Unknown")</f>
        <v>Phone</v>
      </c>
      <c r="M323" s="6">
        <v>3</v>
      </c>
      <c r="N323">
        <f>IF(ISNUMBER(Table1[[#This Row],[quantity]]),Table1[[#This Row],[quantity]],IFERROR(VLOOKUP(Table1[[#This Row],[quantity]],Table5[#All],2,FALSE),"Unknown"))</f>
        <v>3</v>
      </c>
      <c r="P323" t="str">
        <f>IFERROR(VALUE(SUBSTITUTE(SUBSTITUTE(SUBSTITUTE(Table1[[#This Row],[revenue]],"EUR",""),"$",""),".",",")),"")</f>
        <v/>
      </c>
      <c r="R323" t="str">
        <f>IF(OR(Table1[[#This Row],[currency]]="EUR",Table1[[#This Row],[currency]]="€"),"EUR",IF(OR(Table1[[#This Row],[currency]]="USD",Table1[[#This Row],[currency]]="$"),"USD","Unknown"))</f>
        <v>Unknown</v>
      </c>
      <c r="S323" t="s">
        <v>18</v>
      </c>
      <c r="T323" t="str">
        <f>IFERROR(_xlfn.XLOOKUP(Table1[[#This Row],[order_status]],Table8[Original],Table8[Clean],,0,1),"Unknown")</f>
        <v>Pending</v>
      </c>
      <c r="U323">
        <v>3</v>
      </c>
      <c r="V323">
        <f>IF(ISNUMBER(Table1[[#This Row],[delivery_days]]),Table1[[#This Row],[delivery_days]],IFERROR(_xlfn.XLOOKUP(Table1[[#This Row],[delivery_days]],Table57[Original],Table57[Clean],,0,1),"Unknown"))</f>
        <v>3</v>
      </c>
    </row>
    <row r="324" spans="1:23" x14ac:dyDescent="0.3">
      <c r="A324">
        <v>1322</v>
      </c>
      <c r="B324" t="str">
        <f>IF(ISBLANK(Table1[[#This Row],[order_id]]),"",IF(LEFT(Table1[[#This Row],[order_id]],3)="ORD",Table1[[#This Row],[order_id]],"ORD-" &amp; Table1[[#This Row],[order_id]]))</f>
        <v>ORD-1322</v>
      </c>
      <c r="D324" s="1" t="str">
        <f>IFERROR(DATEVALUE(Table1[[#This Row],[order_date]]),"")</f>
        <v/>
      </c>
      <c r="E324" t="s">
        <v>753</v>
      </c>
      <c r="F324" t="str">
        <f>IF(ISBLANK(Table1[[#This Row],[customer_name]]),"Unknown Customer",PROPER(SUBSTITUTE(Table1[[#This Row],[customer_name]],"Cust.","Customer")))</f>
        <v>Customer 322</v>
      </c>
      <c r="G324" t="s">
        <v>26</v>
      </c>
      <c r="H324" t="str">
        <f>IFERROR(_xlfn.XLOOKUP(Table1[[#This Row],[region]],Mappings!$C$3:$C$8,Mappings!$D$3:$D$8,,0,1),"Unknown")</f>
        <v>Asia</v>
      </c>
      <c r="I324" t="s">
        <v>68</v>
      </c>
      <c r="J324" t="str">
        <f>IFERROR(_xlfn.XLOOKUP(Table1[[#This Row],[sales_channel]],Table4[Original],Table4[Clean],,0,1),"Unknown")</f>
        <v>Online</v>
      </c>
      <c r="K324" t="s">
        <v>28</v>
      </c>
      <c r="L324" t="str">
        <f>IFERROR(_xlfn.XLOOKUP(Table1[[#This Row],[product]],Table3[Original],Table3[Product_clean],,0,1),"Unknown")</f>
        <v>Laptop</v>
      </c>
      <c r="M324" s="6">
        <v>2</v>
      </c>
      <c r="N324">
        <f>IF(ISNUMBER(Table1[[#This Row],[quantity]]),Table1[[#This Row],[quantity]],IFERROR(VLOOKUP(Table1[[#This Row],[quantity]],Table5[#All],2,FALSE),"Unknown"))</f>
        <v>2</v>
      </c>
      <c r="P324" t="str">
        <f>IFERROR(VALUE(SUBSTITUTE(SUBSTITUTE(SUBSTITUTE(Table1[[#This Row],[revenue]],"EUR",""),"$",""),".",",")),"")</f>
        <v/>
      </c>
      <c r="Q324" t="s">
        <v>17</v>
      </c>
      <c r="R324" t="str">
        <f>IF(OR(Table1[[#This Row],[currency]]="EUR",Table1[[#This Row],[currency]]="€"),"EUR",IF(OR(Table1[[#This Row],[currency]]="USD",Table1[[#This Row],[currency]]="$"),"USD","Unknown"))</f>
        <v>EUR</v>
      </c>
      <c r="S324" t="s">
        <v>47</v>
      </c>
      <c r="T324" t="str">
        <f>IFERROR(_xlfn.XLOOKUP(Table1[[#This Row],[order_status]],Table8[Original],Table8[Clean],,0,1),"Unknown")</f>
        <v>Returned</v>
      </c>
      <c r="U324">
        <v>2</v>
      </c>
      <c r="V324">
        <f>IF(ISNUMBER(Table1[[#This Row],[delivery_days]]),Table1[[#This Row],[delivery_days]],IFERROR(_xlfn.XLOOKUP(Table1[[#This Row],[delivery_days]],Table57[Original],Table57[Clean],,0,1),"Unknown"))</f>
        <v>2</v>
      </c>
    </row>
    <row r="325" spans="1:23" x14ac:dyDescent="0.3">
      <c r="A325">
        <v>1323</v>
      </c>
      <c r="B325" t="str">
        <f>IF(ISBLANK(Table1[[#This Row],[order_id]]),"",IF(LEFT(Table1[[#This Row],[order_id]],3)="ORD",Table1[[#This Row],[order_id]],"ORD-" &amp; Table1[[#This Row],[order_id]]))</f>
        <v>ORD-1323</v>
      </c>
      <c r="D325" s="1" t="str">
        <f>IFERROR(DATEVALUE(Table1[[#This Row],[order_date]]),"")</f>
        <v/>
      </c>
      <c r="E325" t="s">
        <v>754</v>
      </c>
      <c r="F325" t="str">
        <f>IF(ISBLANK(Table1[[#This Row],[customer_name]]),"Unknown Customer",PROPER(SUBSTITUTE(Table1[[#This Row],[customer_name]],"Cust.","Customer")))</f>
        <v>Customer 323</v>
      </c>
      <c r="H325" t="str">
        <f>IFERROR(_xlfn.XLOOKUP(Table1[[#This Row],[region]],Mappings!$C$3:$C$8,Mappings!$D$3:$D$8,,0,1),"Unknown")</f>
        <v>Unknown</v>
      </c>
      <c r="J325" t="str">
        <f>IFERROR(_xlfn.XLOOKUP(Table1[[#This Row],[sales_channel]],Table4[Original],Table4[Clean],,0,1),"Unknown")</f>
        <v>Unknown</v>
      </c>
      <c r="K325" t="s">
        <v>33</v>
      </c>
      <c r="L325" t="str">
        <f>IFERROR(_xlfn.XLOOKUP(Table1[[#This Row],[product]],Table3[Original],Table3[Product_clean],,0,1),"Unknown")</f>
        <v>Tablet</v>
      </c>
      <c r="M325" s="6">
        <v>1</v>
      </c>
      <c r="N325">
        <f>IF(ISNUMBER(Table1[[#This Row],[quantity]]),Table1[[#This Row],[quantity]],IFERROR(VLOOKUP(Table1[[#This Row],[quantity]],Table5[#All],2,FALSE),"Unknown"))</f>
        <v>1</v>
      </c>
      <c r="O325" t="s">
        <v>755</v>
      </c>
      <c r="P325">
        <f>IFERROR(VALUE(SUBSTITUTE(SUBSTITUTE(SUBSTITUTE(Table1[[#This Row],[revenue]],"EUR",""),"$",""),".",",")),"")</f>
        <v>612.21</v>
      </c>
      <c r="Q325" t="s">
        <v>22</v>
      </c>
      <c r="R325" t="str">
        <f>IF(OR(Table1[[#This Row],[currency]]="EUR",Table1[[#This Row],[currency]]="€"),"EUR",IF(OR(Table1[[#This Row],[currency]]="USD",Table1[[#This Row],[currency]]="$"),"USD","Unknown"))</f>
        <v>USD</v>
      </c>
      <c r="S325" t="s">
        <v>47</v>
      </c>
      <c r="T325" t="str">
        <f>IFERROR(_xlfn.XLOOKUP(Table1[[#This Row],[order_status]],Table8[Original],Table8[Clean],,0,1),"Unknown")</f>
        <v>Returned</v>
      </c>
      <c r="V325" t="str">
        <f>IF(ISNUMBER(Table1[[#This Row],[delivery_days]]),Table1[[#This Row],[delivery_days]],IFERROR(_xlfn.XLOOKUP(Table1[[#This Row],[delivery_days]],Table57[Original],Table57[Clean],,0,1),"Unknown"))</f>
        <v>Unknown</v>
      </c>
      <c r="W325" t="s">
        <v>37</v>
      </c>
    </row>
    <row r="326" spans="1:23" x14ac:dyDescent="0.3">
      <c r="B326" t="str">
        <f>IF(ISBLANK(Table1[[#This Row],[order_id]]),"",IF(LEFT(Table1[[#This Row],[order_id]],3)="ORD",Table1[[#This Row],[order_id]],"ORD-" &amp; Table1[[#This Row],[order_id]]))</f>
        <v/>
      </c>
      <c r="D326" s="1" t="str">
        <f>IFERROR(DATEVALUE(Table1[[#This Row],[order_date]]),"")</f>
        <v/>
      </c>
      <c r="F326" t="str">
        <f>IF(ISBLANK(Table1[[#This Row],[customer_name]]),"Unknown Customer",PROPER(SUBSTITUTE(Table1[[#This Row],[customer_name]],"Cust.","Customer")))</f>
        <v>Unknown Customer</v>
      </c>
      <c r="G326" t="s">
        <v>45</v>
      </c>
      <c r="H326" t="str">
        <f>IFERROR(_xlfn.XLOOKUP(Table1[[#This Row],[region]],Mappings!$C$3:$C$8,Mappings!$D$3:$D$8,,0,1),"Unknown")</f>
        <v>USA</v>
      </c>
      <c r="I326" t="s">
        <v>27</v>
      </c>
      <c r="J326" t="str">
        <f>IFERROR(_xlfn.XLOOKUP(Table1[[#This Row],[sales_channel]],Table4[Original],Table4[Clean],,0,1),"Unknown")</f>
        <v>Online</v>
      </c>
      <c r="K326" t="s">
        <v>15</v>
      </c>
      <c r="L326" t="str">
        <f>IFERROR(_xlfn.XLOOKUP(Table1[[#This Row],[product]],Table3[Original],Table3[Product_clean],,0,1),"Unknown")</f>
        <v>Tablet</v>
      </c>
      <c r="M326" s="6"/>
      <c r="N326" t="str">
        <f>IF(ISNUMBER(Table1[[#This Row],[quantity]]),Table1[[#This Row],[quantity]],IFERROR(VLOOKUP(Table1[[#This Row],[quantity]],Table5[#All],2,FALSE),"Unknown"))</f>
        <v>Unknown</v>
      </c>
      <c r="O326">
        <v>62.8</v>
      </c>
      <c r="P326">
        <f>IFERROR(VALUE(SUBSTITUTE(SUBSTITUTE(SUBSTITUTE(Table1[[#This Row],[revenue]],"EUR",""),"$",""),".",",")),"")</f>
        <v>62.8</v>
      </c>
      <c r="Q326" t="s">
        <v>58</v>
      </c>
      <c r="R326" t="str">
        <f>IF(OR(Table1[[#This Row],[currency]]="EUR",Table1[[#This Row],[currency]]="€"),"EUR",IF(OR(Table1[[#This Row],[currency]]="USD",Table1[[#This Row],[currency]]="$"),"USD","Unknown"))</f>
        <v>USD</v>
      </c>
      <c r="T326" t="str">
        <f>IFERROR(_xlfn.XLOOKUP(Table1[[#This Row],[order_status]],Table8[Original],Table8[Clean],,0,1),"Unknown")</f>
        <v>Unknown</v>
      </c>
      <c r="U326">
        <v>2</v>
      </c>
      <c r="V326">
        <f>IF(ISNUMBER(Table1[[#This Row],[delivery_days]]),Table1[[#This Row],[delivery_days]],IFERROR(_xlfn.XLOOKUP(Table1[[#This Row],[delivery_days]],Table57[Original],Table57[Clean],,0,1),"Unknown"))</f>
        <v>2</v>
      </c>
    </row>
    <row r="327" spans="1:23" x14ac:dyDescent="0.3">
      <c r="B327" t="str">
        <f>IF(ISBLANK(Table1[[#This Row],[order_id]]),"",IF(LEFT(Table1[[#This Row],[order_id]],3)="ORD",Table1[[#This Row],[order_id]],"ORD-" &amp; Table1[[#This Row],[order_id]]))</f>
        <v/>
      </c>
      <c r="D327" s="1" t="str">
        <f>IFERROR(DATEVALUE(Table1[[#This Row],[order_date]]),"")</f>
        <v/>
      </c>
      <c r="F327" t="str">
        <f>IF(ISBLANK(Table1[[#This Row],[customer_name]]),"Unknown Customer",PROPER(SUBSTITUTE(Table1[[#This Row],[customer_name]],"Cust.","Customer")))</f>
        <v>Unknown Customer</v>
      </c>
      <c r="G327" t="s">
        <v>45</v>
      </c>
      <c r="H327" t="str">
        <f>IFERROR(_xlfn.XLOOKUP(Table1[[#This Row],[region]],Mappings!$C$3:$C$8,Mappings!$D$3:$D$8,,0,1),"Unknown")</f>
        <v>USA</v>
      </c>
      <c r="J327" t="str">
        <f>IFERROR(_xlfn.XLOOKUP(Table1[[#This Row],[sales_channel]],Table4[Original],Table4[Clean],,0,1),"Unknown")</f>
        <v>Unknown</v>
      </c>
      <c r="L327" t="str">
        <f>IFERROR(_xlfn.XLOOKUP(Table1[[#This Row],[product]],Table3[Original],Table3[Product_clean],,0,1),"Unknown")</f>
        <v>Unknown</v>
      </c>
      <c r="M327" s="6">
        <v>2</v>
      </c>
      <c r="N327">
        <f>IF(ISNUMBER(Table1[[#This Row],[quantity]]),Table1[[#This Row],[quantity]],IFERROR(VLOOKUP(Table1[[#This Row],[quantity]],Table5[#All],2,FALSE),"Unknown"))</f>
        <v>2</v>
      </c>
      <c r="O327" t="s">
        <v>756</v>
      </c>
      <c r="P327">
        <f>IFERROR(VALUE(SUBSTITUTE(SUBSTITUTE(SUBSTITUTE(Table1[[#This Row],[revenue]],"EUR",""),"$",""),".",",")),"")</f>
        <v>1989.69</v>
      </c>
      <c r="Q327" t="s">
        <v>55</v>
      </c>
      <c r="R327" t="str">
        <f>IF(OR(Table1[[#This Row],[currency]]="EUR",Table1[[#This Row],[currency]]="€"),"EUR",IF(OR(Table1[[#This Row],[currency]]="USD",Table1[[#This Row],[currency]]="$"),"USD","Unknown"))</f>
        <v>EUR</v>
      </c>
      <c r="S327" t="s">
        <v>47</v>
      </c>
      <c r="T327" t="str">
        <f>IFERROR(_xlfn.XLOOKUP(Table1[[#This Row],[order_status]],Table8[Original],Table8[Clean],,0,1),"Unknown")</f>
        <v>Returned</v>
      </c>
      <c r="U327">
        <v>3</v>
      </c>
      <c r="V327">
        <f>IF(ISNUMBER(Table1[[#This Row],[delivery_days]]),Table1[[#This Row],[delivery_days]],IFERROR(_xlfn.XLOOKUP(Table1[[#This Row],[delivery_days]],Table57[Original],Table57[Clean],,0,1),"Unknown"))</f>
        <v>3</v>
      </c>
      <c r="W327" t="s">
        <v>24</v>
      </c>
    </row>
    <row r="328" spans="1:23" x14ac:dyDescent="0.3">
      <c r="A328" t="s">
        <v>757</v>
      </c>
      <c r="B328" t="str">
        <f>IF(ISBLANK(Table1[[#This Row],[order_id]]),"",IF(LEFT(Table1[[#This Row],[order_id]],3)="ORD",Table1[[#This Row],[order_id]],"ORD-" &amp; Table1[[#This Row],[order_id]]))</f>
        <v>ORD-1326</v>
      </c>
      <c r="C328" t="s">
        <v>758</v>
      </c>
      <c r="D328" s="1" t="str">
        <f>IFERROR(DATEVALUE(Table1[[#This Row],[order_date]]),"")</f>
        <v/>
      </c>
      <c r="E328" t="s">
        <v>759</v>
      </c>
      <c r="F328" t="str">
        <f>IF(ISBLANK(Table1[[#This Row],[customer_name]]),"Unknown Customer",PROPER(SUBSTITUTE(Table1[[#This Row],[customer_name]],"Cust.","Customer")))</f>
        <v>Customer 326</v>
      </c>
      <c r="H328" t="str">
        <f>IFERROR(_xlfn.XLOOKUP(Table1[[#This Row],[region]],Mappings!$C$3:$C$8,Mappings!$D$3:$D$8,,0,1),"Unknown")</f>
        <v>Unknown</v>
      </c>
      <c r="J328" t="str">
        <f>IFERROR(_xlfn.XLOOKUP(Table1[[#This Row],[sales_channel]],Table4[Original],Table4[Clean],,0,1),"Unknown")</f>
        <v>Unknown</v>
      </c>
      <c r="K328" t="s">
        <v>33</v>
      </c>
      <c r="L328" t="str">
        <f>IFERROR(_xlfn.XLOOKUP(Table1[[#This Row],[product]],Table3[Original],Table3[Product_clean],,0,1),"Unknown")</f>
        <v>Tablet</v>
      </c>
      <c r="M328" s="6">
        <v>2</v>
      </c>
      <c r="N328">
        <f>IF(ISNUMBER(Table1[[#This Row],[quantity]]),Table1[[#This Row],[quantity]],IFERROR(VLOOKUP(Table1[[#This Row],[quantity]],Table5[#All],2,FALSE),"Unknown"))</f>
        <v>2</v>
      </c>
      <c r="O328" t="s">
        <v>760</v>
      </c>
      <c r="P328">
        <f>IFERROR(VALUE(SUBSTITUTE(SUBSTITUTE(SUBSTITUTE(Table1[[#This Row],[revenue]],"EUR",""),"$",""),".",",")),"")</f>
        <v>2424.15</v>
      </c>
      <c r="Q328" t="s">
        <v>58</v>
      </c>
      <c r="R328" t="str">
        <f>IF(OR(Table1[[#This Row],[currency]]="EUR",Table1[[#This Row],[currency]]="€"),"EUR",IF(OR(Table1[[#This Row],[currency]]="USD",Table1[[#This Row],[currency]]="$"),"USD","Unknown"))</f>
        <v>USD</v>
      </c>
      <c r="S328" t="s">
        <v>23</v>
      </c>
      <c r="T328" t="str">
        <f>IFERROR(_xlfn.XLOOKUP(Table1[[#This Row],[order_status]],Table8[Original],Table8[Clean],,0,1),"Unknown")</f>
        <v>Delivered</v>
      </c>
      <c r="U328" t="s">
        <v>36</v>
      </c>
      <c r="V328">
        <f>IF(ISNUMBER(Table1[[#This Row],[delivery_days]]),Table1[[#This Row],[delivery_days]],IFERROR(_xlfn.XLOOKUP(Table1[[#This Row],[delivery_days]],Table57[Original],Table57[Clean],,0,1),"Unknown"))</f>
        <v>5</v>
      </c>
      <c r="W328" t="s">
        <v>24</v>
      </c>
    </row>
    <row r="329" spans="1:23" x14ac:dyDescent="0.3">
      <c r="B329" t="str">
        <f>IF(ISBLANK(Table1[[#This Row],[order_id]]),"",IF(LEFT(Table1[[#This Row],[order_id]],3)="ORD",Table1[[#This Row],[order_id]],"ORD-" &amp; Table1[[#This Row],[order_id]]))</f>
        <v/>
      </c>
      <c r="C329" t="s">
        <v>761</v>
      </c>
      <c r="D329" s="1">
        <f>IFERROR(DATEVALUE(Table1[[#This Row],[order_date]]),"")</f>
        <v>45643</v>
      </c>
      <c r="E329" t="s">
        <v>762</v>
      </c>
      <c r="F329" t="str">
        <f>IF(ISBLANK(Table1[[#This Row],[customer_name]]),"Unknown Customer",PROPER(SUBSTITUTE(Table1[[#This Row],[customer_name]],"Cust.","Customer")))</f>
        <v>Customer 327</v>
      </c>
      <c r="H329" t="str">
        <f>IFERROR(_xlfn.XLOOKUP(Table1[[#This Row],[region]],Mappings!$C$3:$C$8,Mappings!$D$3:$D$8,,0,1),"Unknown")</f>
        <v>Unknown</v>
      </c>
      <c r="I329" t="s">
        <v>14</v>
      </c>
      <c r="J329" t="str">
        <f>IFERROR(_xlfn.XLOOKUP(Table1[[#This Row],[sales_channel]],Table4[Original],Table4[Clean],,0,1),"Unknown")</f>
        <v>Online</v>
      </c>
      <c r="L329" t="str">
        <f>IFERROR(_xlfn.XLOOKUP(Table1[[#This Row],[product]],Table3[Original],Table3[Product_clean],,0,1),"Unknown")</f>
        <v>Unknown</v>
      </c>
      <c r="M329" s="6">
        <v>3</v>
      </c>
      <c r="N329">
        <f>IF(ISNUMBER(Table1[[#This Row],[quantity]]),Table1[[#This Row],[quantity]],IFERROR(VLOOKUP(Table1[[#This Row],[quantity]],Table5[#All],2,FALSE),"Unknown"))</f>
        <v>3</v>
      </c>
      <c r="O329" t="s">
        <v>763</v>
      </c>
      <c r="P329">
        <f>IFERROR(VALUE(SUBSTITUTE(SUBSTITUTE(SUBSTITUTE(Table1[[#This Row],[revenue]],"EUR",""),"$",""),".",",")),"")</f>
        <v>1068.6199999999999</v>
      </c>
      <c r="R329" t="str">
        <f>IF(OR(Table1[[#This Row],[currency]]="EUR",Table1[[#This Row],[currency]]="€"),"EUR",IF(OR(Table1[[#This Row],[currency]]="USD",Table1[[#This Row],[currency]]="$"),"USD","Unknown"))</f>
        <v>Unknown</v>
      </c>
      <c r="S329" t="s">
        <v>47</v>
      </c>
      <c r="T329" t="str">
        <f>IFERROR(_xlfn.XLOOKUP(Table1[[#This Row],[order_status]],Table8[Original],Table8[Clean],,0,1),"Unknown")</f>
        <v>Returned</v>
      </c>
      <c r="U329" t="s">
        <v>36</v>
      </c>
      <c r="V329">
        <f>IF(ISNUMBER(Table1[[#This Row],[delivery_days]]),Table1[[#This Row],[delivery_days]],IFERROR(_xlfn.XLOOKUP(Table1[[#This Row],[delivery_days]],Table57[Original],Table57[Clean],,0,1),"Unknown"))</f>
        <v>5</v>
      </c>
    </row>
    <row r="330" spans="1:23" x14ac:dyDescent="0.3">
      <c r="A330" t="s">
        <v>764</v>
      </c>
      <c r="B330" t="str">
        <f>IF(ISBLANK(Table1[[#This Row],[order_id]]),"",IF(LEFT(Table1[[#This Row],[order_id]],3)="ORD",Table1[[#This Row],[order_id]],"ORD-" &amp; Table1[[#This Row],[order_id]]))</f>
        <v>ORD-1328</v>
      </c>
      <c r="C330" t="s">
        <v>765</v>
      </c>
      <c r="D330" s="1">
        <f>IFERROR(DATEVALUE(Table1[[#This Row],[order_date]]),"")</f>
        <v>45637</v>
      </c>
      <c r="E330" t="s">
        <v>766</v>
      </c>
      <c r="F330" t="str">
        <f>IF(ISBLANK(Table1[[#This Row],[customer_name]]),"Unknown Customer",PROPER(SUBSTITUTE(Table1[[#This Row],[customer_name]],"Cust.","Customer")))</f>
        <v>Customer 328</v>
      </c>
      <c r="G330" t="s">
        <v>73</v>
      </c>
      <c r="H330" t="str">
        <f>IFERROR(_xlfn.XLOOKUP(Table1[[#This Row],[region]],Mappings!$C$3:$C$8,Mappings!$D$3:$D$8,,0,1),"Unknown")</f>
        <v>Europe</v>
      </c>
      <c r="I330" t="s">
        <v>78</v>
      </c>
      <c r="J330" t="str">
        <f>IFERROR(_xlfn.XLOOKUP(Table1[[#This Row],[sales_channel]],Table4[Original],Table4[Clean],,0,1),"Unknown")</f>
        <v>Mobile</v>
      </c>
      <c r="K330" t="s">
        <v>28</v>
      </c>
      <c r="L330" t="str">
        <f>IFERROR(_xlfn.XLOOKUP(Table1[[#This Row],[product]],Table3[Original],Table3[Product_clean],,0,1),"Unknown")</f>
        <v>Laptop</v>
      </c>
      <c r="M330" s="6">
        <v>1</v>
      </c>
      <c r="N330">
        <f>IF(ISNUMBER(Table1[[#This Row],[quantity]]),Table1[[#This Row],[quantity]],IFERROR(VLOOKUP(Table1[[#This Row],[quantity]],Table5[#All],2,FALSE),"Unknown"))</f>
        <v>1</v>
      </c>
      <c r="O330" t="s">
        <v>767</v>
      </c>
      <c r="P330">
        <f>IFERROR(VALUE(SUBSTITUTE(SUBSTITUTE(SUBSTITUTE(Table1[[#This Row],[revenue]],"EUR",""),"$",""),".",",")),"")</f>
        <v>2256.21</v>
      </c>
      <c r="Q330" t="s">
        <v>17</v>
      </c>
      <c r="R330" t="str">
        <f>IF(OR(Table1[[#This Row],[currency]]="EUR",Table1[[#This Row],[currency]]="€"),"EUR",IF(OR(Table1[[#This Row],[currency]]="USD",Table1[[#This Row],[currency]]="$"),"USD","Unknown"))</f>
        <v>EUR</v>
      </c>
      <c r="S330" t="s">
        <v>23</v>
      </c>
      <c r="T330" t="str">
        <f>IFERROR(_xlfn.XLOOKUP(Table1[[#This Row],[order_status]],Table8[Original],Table8[Clean],,0,1),"Unknown")</f>
        <v>Delivered</v>
      </c>
      <c r="U330">
        <v>3</v>
      </c>
      <c r="V330">
        <f>IF(ISNUMBER(Table1[[#This Row],[delivery_days]]),Table1[[#This Row],[delivery_days]],IFERROR(_xlfn.XLOOKUP(Table1[[#This Row],[delivery_days]],Table57[Original],Table57[Clean],,0,1),"Unknown"))</f>
        <v>3</v>
      </c>
      <c r="W330" t="s">
        <v>37</v>
      </c>
    </row>
    <row r="331" spans="1:23" x14ac:dyDescent="0.3">
      <c r="A331">
        <v>1329</v>
      </c>
      <c r="B331" t="str">
        <f>IF(ISBLANK(Table1[[#This Row],[order_id]]),"",IF(LEFT(Table1[[#This Row],[order_id]],3)="ORD",Table1[[#This Row],[order_id]],"ORD-" &amp; Table1[[#This Row],[order_id]]))</f>
        <v>ORD-1329</v>
      </c>
      <c r="C331" t="s">
        <v>330</v>
      </c>
      <c r="D331" s="1" t="str">
        <f>IFERROR(DATEVALUE(Table1[[#This Row],[order_date]]),"")</f>
        <v/>
      </c>
      <c r="E331" t="s">
        <v>768</v>
      </c>
      <c r="F331" t="str">
        <f>IF(ISBLANK(Table1[[#This Row],[customer_name]]),"Unknown Customer",PROPER(SUBSTITUTE(Table1[[#This Row],[customer_name]],"Cust.","Customer")))</f>
        <v>Customer 329</v>
      </c>
      <c r="H331" t="str">
        <f>IFERROR(_xlfn.XLOOKUP(Table1[[#This Row],[region]],Mappings!$C$3:$C$8,Mappings!$D$3:$D$8,,0,1),"Unknown")</f>
        <v>Unknown</v>
      </c>
      <c r="I331" t="s">
        <v>68</v>
      </c>
      <c r="J331" t="str">
        <f>IFERROR(_xlfn.XLOOKUP(Table1[[#This Row],[sales_channel]],Table4[Original],Table4[Clean],,0,1),"Unknown")</f>
        <v>Online</v>
      </c>
      <c r="K331" t="s">
        <v>51</v>
      </c>
      <c r="L331" t="str">
        <f>IFERROR(_xlfn.XLOOKUP(Table1[[#This Row],[product]],Table3[Original],Table3[Product_clean],,0,1),"Unknown")</f>
        <v>Laptop</v>
      </c>
      <c r="M331" s="6">
        <v>3</v>
      </c>
      <c r="N331">
        <f>IF(ISNUMBER(Table1[[#This Row],[quantity]]),Table1[[#This Row],[quantity]],IFERROR(VLOOKUP(Table1[[#This Row],[quantity]],Table5[#All],2,FALSE),"Unknown"))</f>
        <v>3</v>
      </c>
      <c r="O331" t="s">
        <v>769</v>
      </c>
      <c r="P331">
        <f>IFERROR(VALUE(SUBSTITUTE(SUBSTITUTE(SUBSTITUTE(Table1[[#This Row],[revenue]],"EUR",""),"$",""),".",",")),"")</f>
        <v>2066</v>
      </c>
      <c r="Q331" t="s">
        <v>22</v>
      </c>
      <c r="R331" t="str">
        <f>IF(OR(Table1[[#This Row],[currency]]="EUR",Table1[[#This Row],[currency]]="€"),"EUR",IF(OR(Table1[[#This Row],[currency]]="USD",Table1[[#This Row],[currency]]="$"),"USD","Unknown"))</f>
        <v>USD</v>
      </c>
      <c r="S331" t="s">
        <v>30</v>
      </c>
      <c r="T331" t="str">
        <f>IFERROR(_xlfn.XLOOKUP(Table1[[#This Row],[order_status]],Table8[Original],Table8[Clean],,0,1),"Unknown")</f>
        <v>Delivered</v>
      </c>
      <c r="U331" t="s">
        <v>36</v>
      </c>
      <c r="V331">
        <f>IF(ISNUMBER(Table1[[#This Row],[delivery_days]]),Table1[[#This Row],[delivery_days]],IFERROR(_xlfn.XLOOKUP(Table1[[#This Row],[delivery_days]],Table57[Original],Table57[Clean],,0,1),"Unknown"))</f>
        <v>5</v>
      </c>
      <c r="W331" t="s">
        <v>37</v>
      </c>
    </row>
    <row r="332" spans="1:23" x14ac:dyDescent="0.3">
      <c r="A332">
        <v>1330</v>
      </c>
      <c r="B332" t="str">
        <f>IF(ISBLANK(Table1[[#This Row],[order_id]]),"",IF(LEFT(Table1[[#This Row],[order_id]],3)="ORD",Table1[[#This Row],[order_id]],"ORD-" &amp; Table1[[#This Row],[order_id]]))</f>
        <v>ORD-1330</v>
      </c>
      <c r="C332" t="s">
        <v>770</v>
      </c>
      <c r="D332" s="1" t="str">
        <f>IFERROR(DATEVALUE(Table1[[#This Row],[order_date]]),"")</f>
        <v/>
      </c>
      <c r="E332" t="s">
        <v>771</v>
      </c>
      <c r="F332" t="str">
        <f>IF(ISBLANK(Table1[[#This Row],[customer_name]]),"Unknown Customer",PROPER(SUBSTITUTE(Table1[[#This Row],[customer_name]],"Cust.","Customer")))</f>
        <v>Customer 330</v>
      </c>
      <c r="G332" t="s">
        <v>32</v>
      </c>
      <c r="H332" t="str">
        <f>IFERROR(_xlfn.XLOOKUP(Table1[[#This Row],[region]],Mappings!$C$3:$C$8,Mappings!$D$3:$D$8,,0,1),"Unknown")</f>
        <v>Europe</v>
      </c>
      <c r="I332" t="s">
        <v>78</v>
      </c>
      <c r="J332" t="str">
        <f>IFERROR(_xlfn.XLOOKUP(Table1[[#This Row],[sales_channel]],Table4[Original],Table4[Clean],,0,1),"Unknown")</f>
        <v>Mobile</v>
      </c>
      <c r="K332" t="s">
        <v>41</v>
      </c>
      <c r="L332" t="str">
        <f>IFERROR(_xlfn.XLOOKUP(Table1[[#This Row],[product]],Table3[Original],Table3[Product_clean],,0,1),"Unknown")</f>
        <v>Phone</v>
      </c>
      <c r="M332" s="6">
        <v>3</v>
      </c>
      <c r="N332">
        <f>IF(ISNUMBER(Table1[[#This Row],[quantity]]),Table1[[#This Row],[quantity]],IFERROR(VLOOKUP(Table1[[#This Row],[quantity]],Table5[#All],2,FALSE),"Unknown"))</f>
        <v>3</v>
      </c>
      <c r="P332" t="str">
        <f>IFERROR(VALUE(SUBSTITUTE(SUBSTITUTE(SUBSTITUTE(Table1[[#This Row],[revenue]],"EUR",""),"$",""),".",",")),"")</f>
        <v/>
      </c>
      <c r="R332" t="str">
        <f>IF(OR(Table1[[#This Row],[currency]]="EUR",Table1[[#This Row],[currency]]="€"),"EUR",IF(OR(Table1[[#This Row],[currency]]="USD",Table1[[#This Row],[currency]]="$"),"USD","Unknown"))</f>
        <v>Unknown</v>
      </c>
      <c r="S332" t="s">
        <v>30</v>
      </c>
      <c r="T332" t="str">
        <f>IFERROR(_xlfn.XLOOKUP(Table1[[#This Row],[order_status]],Table8[Original],Table8[Clean],,0,1),"Unknown")</f>
        <v>Delivered</v>
      </c>
      <c r="U332">
        <v>1</v>
      </c>
      <c r="V332">
        <f>IF(ISNUMBER(Table1[[#This Row],[delivery_days]]),Table1[[#This Row],[delivery_days]],IFERROR(_xlfn.XLOOKUP(Table1[[#This Row],[delivery_days]],Table57[Original],Table57[Clean],,0,1),"Unknown"))</f>
        <v>1</v>
      </c>
      <c r="W332" t="s">
        <v>24</v>
      </c>
    </row>
    <row r="333" spans="1:23" x14ac:dyDescent="0.3">
      <c r="A333">
        <v>1331</v>
      </c>
      <c r="B333" t="str">
        <f>IF(ISBLANK(Table1[[#This Row],[order_id]]),"",IF(LEFT(Table1[[#This Row],[order_id]],3)="ORD",Table1[[#This Row],[order_id]],"ORD-" &amp; Table1[[#This Row],[order_id]]))</f>
        <v>ORD-1331</v>
      </c>
      <c r="C333" t="s">
        <v>670</v>
      </c>
      <c r="D333" s="1" t="str">
        <f>IFERROR(DATEVALUE(Table1[[#This Row],[order_date]]),"")</f>
        <v/>
      </c>
      <c r="E333" t="s">
        <v>772</v>
      </c>
      <c r="F333" t="str">
        <f>IF(ISBLANK(Table1[[#This Row],[customer_name]]),"Unknown Customer",PROPER(SUBSTITUTE(Table1[[#This Row],[customer_name]],"Cust.","Customer")))</f>
        <v>Customer 331</v>
      </c>
      <c r="H333" t="str">
        <f>IFERROR(_xlfn.XLOOKUP(Table1[[#This Row],[region]],Mappings!$C$3:$C$8,Mappings!$D$3:$D$8,,0,1),"Unknown")</f>
        <v>Unknown</v>
      </c>
      <c r="J333" t="str">
        <f>IFERROR(_xlfn.XLOOKUP(Table1[[#This Row],[sales_channel]],Table4[Original],Table4[Clean],,0,1),"Unknown")</f>
        <v>Unknown</v>
      </c>
      <c r="K333" t="s">
        <v>28</v>
      </c>
      <c r="L333" t="str">
        <f>IFERROR(_xlfn.XLOOKUP(Table1[[#This Row],[product]],Table3[Original],Table3[Product_clean],,0,1),"Unknown")</f>
        <v>Laptop</v>
      </c>
      <c r="M333" s="6">
        <v>3</v>
      </c>
      <c r="N333">
        <f>IF(ISNUMBER(Table1[[#This Row],[quantity]]),Table1[[#This Row],[quantity]],IFERROR(VLOOKUP(Table1[[#This Row],[quantity]],Table5[#All],2,FALSE),"Unknown"))</f>
        <v>3</v>
      </c>
      <c r="P333" t="str">
        <f>IFERROR(VALUE(SUBSTITUTE(SUBSTITUTE(SUBSTITUTE(Table1[[#This Row],[revenue]],"EUR",""),"$",""),".",",")),"")</f>
        <v/>
      </c>
      <c r="Q333" t="s">
        <v>22</v>
      </c>
      <c r="R333" t="str">
        <f>IF(OR(Table1[[#This Row],[currency]]="EUR",Table1[[#This Row],[currency]]="€"),"EUR",IF(OR(Table1[[#This Row],[currency]]="USD",Table1[[#This Row],[currency]]="$"),"USD","Unknown"))</f>
        <v>USD</v>
      </c>
      <c r="S333" t="s">
        <v>23</v>
      </c>
      <c r="T333" t="str">
        <f>IFERROR(_xlfn.XLOOKUP(Table1[[#This Row],[order_status]],Table8[Original],Table8[Clean],,0,1),"Unknown")</f>
        <v>Delivered</v>
      </c>
      <c r="V333" t="str">
        <f>IF(ISNUMBER(Table1[[#This Row],[delivery_days]]),Table1[[#This Row],[delivery_days]],IFERROR(_xlfn.XLOOKUP(Table1[[#This Row],[delivery_days]],Table57[Original],Table57[Clean],,0,1),"Unknown"))</f>
        <v>Unknown</v>
      </c>
    </row>
    <row r="334" spans="1:23" x14ac:dyDescent="0.3">
      <c r="A334" t="s">
        <v>773</v>
      </c>
      <c r="B334" t="str">
        <f>IF(ISBLANK(Table1[[#This Row],[order_id]]),"",IF(LEFT(Table1[[#This Row],[order_id]],3)="ORD",Table1[[#This Row],[order_id]],"ORD-" &amp; Table1[[#This Row],[order_id]]))</f>
        <v>ORD-1332</v>
      </c>
      <c r="C334" t="s">
        <v>774</v>
      </c>
      <c r="D334" s="1">
        <f>IFERROR(DATEVALUE(Table1[[#This Row],[order_date]]),"")</f>
        <v>45387</v>
      </c>
      <c r="F334" t="str">
        <f>IF(ISBLANK(Table1[[#This Row],[customer_name]]),"Unknown Customer",PROPER(SUBSTITUTE(Table1[[#This Row],[customer_name]],"Cust.","Customer")))</f>
        <v>Unknown Customer</v>
      </c>
      <c r="G334" t="s">
        <v>26</v>
      </c>
      <c r="H334" t="str">
        <f>IFERROR(_xlfn.XLOOKUP(Table1[[#This Row],[region]],Mappings!$C$3:$C$8,Mappings!$D$3:$D$8,,0,1),"Unknown")</f>
        <v>Asia</v>
      </c>
      <c r="I334" t="s">
        <v>68</v>
      </c>
      <c r="J334" t="str">
        <f>IFERROR(_xlfn.XLOOKUP(Table1[[#This Row],[sales_channel]],Table4[Original],Table4[Clean],,0,1),"Unknown")</f>
        <v>Online</v>
      </c>
      <c r="K334" t="s">
        <v>102</v>
      </c>
      <c r="L334" t="str">
        <f>IFERROR(_xlfn.XLOOKUP(Table1[[#This Row],[product]],Table3[Original],Table3[Product_clean],,0,1),"Unknown")</f>
        <v>Phone</v>
      </c>
      <c r="M334" s="6">
        <v>2</v>
      </c>
      <c r="N334">
        <f>IF(ISNUMBER(Table1[[#This Row],[quantity]]),Table1[[#This Row],[quantity]],IFERROR(VLOOKUP(Table1[[#This Row],[quantity]],Table5[#All],2,FALSE),"Unknown"))</f>
        <v>2</v>
      </c>
      <c r="O334">
        <v>2889.3</v>
      </c>
      <c r="P334">
        <f>IFERROR(VALUE(SUBSTITUTE(SUBSTITUTE(SUBSTITUTE(Table1[[#This Row],[revenue]],"EUR",""),"$",""),".",",")),"")</f>
        <v>2889.3</v>
      </c>
      <c r="Q334" t="s">
        <v>58</v>
      </c>
      <c r="R334" t="str">
        <f>IF(OR(Table1[[#This Row],[currency]]="EUR",Table1[[#This Row],[currency]]="€"),"EUR",IF(OR(Table1[[#This Row],[currency]]="USD",Table1[[#This Row],[currency]]="$"),"USD","Unknown"))</f>
        <v>USD</v>
      </c>
      <c r="S334" t="s">
        <v>18</v>
      </c>
      <c r="T334" t="str">
        <f>IFERROR(_xlfn.XLOOKUP(Table1[[#This Row],[order_status]],Table8[Original],Table8[Clean],,0,1),"Unknown")</f>
        <v>Pending</v>
      </c>
      <c r="U334">
        <v>3</v>
      </c>
      <c r="V334">
        <f>IF(ISNUMBER(Table1[[#This Row],[delivery_days]]),Table1[[#This Row],[delivery_days]],IFERROR(_xlfn.XLOOKUP(Table1[[#This Row],[delivery_days]],Table57[Original],Table57[Clean],,0,1),"Unknown"))</f>
        <v>3</v>
      </c>
    </row>
    <row r="335" spans="1:23" x14ac:dyDescent="0.3">
      <c r="A335">
        <v>1333</v>
      </c>
      <c r="B335" t="str">
        <f>IF(ISBLANK(Table1[[#This Row],[order_id]]),"",IF(LEFT(Table1[[#This Row],[order_id]],3)="ORD",Table1[[#This Row],[order_id]],"ORD-" &amp; Table1[[#This Row],[order_id]]))</f>
        <v>ORD-1333</v>
      </c>
      <c r="C335" t="s">
        <v>775</v>
      </c>
      <c r="D335" s="1">
        <f>IFERROR(DATEVALUE(Table1[[#This Row],[order_date]]),"")</f>
        <v>45461</v>
      </c>
      <c r="E335" t="s">
        <v>776</v>
      </c>
      <c r="F335" t="str">
        <f>IF(ISBLANK(Table1[[#This Row],[customer_name]]),"Unknown Customer",PROPER(SUBSTITUTE(Table1[[#This Row],[customer_name]],"Cust.","Customer")))</f>
        <v>Customer 333</v>
      </c>
      <c r="G335" t="s">
        <v>45</v>
      </c>
      <c r="H335" t="str">
        <f>IFERROR(_xlfn.XLOOKUP(Table1[[#This Row],[region]],Mappings!$C$3:$C$8,Mappings!$D$3:$D$8,,0,1),"Unknown")</f>
        <v>USA</v>
      </c>
      <c r="I335" t="s">
        <v>14</v>
      </c>
      <c r="J335" t="str">
        <f>IFERROR(_xlfn.XLOOKUP(Table1[[#This Row],[sales_channel]],Table4[Original],Table4[Clean],,0,1),"Unknown")</f>
        <v>Online</v>
      </c>
      <c r="L335" t="str">
        <f>IFERROR(_xlfn.XLOOKUP(Table1[[#This Row],[product]],Table3[Original],Table3[Product_clean],,0,1),"Unknown")</f>
        <v>Unknown</v>
      </c>
      <c r="M335" s="6"/>
      <c r="N335" t="str">
        <f>IF(ISNUMBER(Table1[[#This Row],[quantity]]),Table1[[#This Row],[quantity]],IFERROR(VLOOKUP(Table1[[#This Row],[quantity]],Table5[#All],2,FALSE),"Unknown"))</f>
        <v>Unknown</v>
      </c>
      <c r="O335" t="s">
        <v>777</v>
      </c>
      <c r="P335">
        <f>IFERROR(VALUE(SUBSTITUTE(SUBSTITUTE(SUBSTITUTE(Table1[[#This Row],[revenue]],"EUR",""),"$",""),".",",")),"")</f>
        <v>1425.68</v>
      </c>
      <c r="Q335" t="s">
        <v>55</v>
      </c>
      <c r="R335" t="str">
        <f>IF(OR(Table1[[#This Row],[currency]]="EUR",Table1[[#This Row],[currency]]="€"),"EUR",IF(OR(Table1[[#This Row],[currency]]="USD",Table1[[#This Row],[currency]]="$"),"USD","Unknown"))</f>
        <v>EUR</v>
      </c>
      <c r="S335" t="s">
        <v>47</v>
      </c>
      <c r="T335" t="str">
        <f>IFERROR(_xlfn.XLOOKUP(Table1[[#This Row],[order_status]],Table8[Original],Table8[Clean],,0,1),"Unknown")</f>
        <v>Returned</v>
      </c>
      <c r="U335" t="s">
        <v>36</v>
      </c>
      <c r="V335">
        <f>IF(ISNUMBER(Table1[[#This Row],[delivery_days]]),Table1[[#This Row],[delivery_days]],IFERROR(_xlfn.XLOOKUP(Table1[[#This Row],[delivery_days]],Table57[Original],Table57[Clean],,0,1),"Unknown"))</f>
        <v>5</v>
      </c>
      <c r="W335" t="s">
        <v>24</v>
      </c>
    </row>
    <row r="336" spans="1:23" x14ac:dyDescent="0.3">
      <c r="B336" t="str">
        <f>IF(ISBLANK(Table1[[#This Row],[order_id]]),"",IF(LEFT(Table1[[#This Row],[order_id]],3)="ORD",Table1[[#This Row],[order_id]],"ORD-" &amp; Table1[[#This Row],[order_id]]))</f>
        <v/>
      </c>
      <c r="C336" t="s">
        <v>778</v>
      </c>
      <c r="D336" s="1">
        <f>IFERROR(DATEVALUE(Table1[[#This Row],[order_date]]),"")</f>
        <v>45329</v>
      </c>
      <c r="E336" t="s">
        <v>779</v>
      </c>
      <c r="F336" t="str">
        <f>IF(ISBLANK(Table1[[#This Row],[customer_name]]),"Unknown Customer",PROPER(SUBSTITUTE(Table1[[#This Row],[customer_name]],"Cust.","Customer")))</f>
        <v>Customer 334</v>
      </c>
      <c r="G336" t="s">
        <v>45</v>
      </c>
      <c r="H336" t="str">
        <f>IFERROR(_xlfn.XLOOKUP(Table1[[#This Row],[region]],Mappings!$C$3:$C$8,Mappings!$D$3:$D$8,,0,1),"Unknown")</f>
        <v>USA</v>
      </c>
      <c r="I336" t="s">
        <v>14</v>
      </c>
      <c r="J336" t="str">
        <f>IFERROR(_xlfn.XLOOKUP(Table1[[#This Row],[sales_channel]],Table4[Original],Table4[Clean],,0,1),"Unknown")</f>
        <v>Online</v>
      </c>
      <c r="L336" t="str">
        <f>IFERROR(_xlfn.XLOOKUP(Table1[[#This Row],[product]],Table3[Original],Table3[Product_clean],,0,1),"Unknown")</f>
        <v>Unknown</v>
      </c>
      <c r="M336" s="6"/>
      <c r="N336" t="str">
        <f>IF(ISNUMBER(Table1[[#This Row],[quantity]]),Table1[[#This Row],[quantity]],IFERROR(VLOOKUP(Table1[[#This Row],[quantity]],Table5[#All],2,FALSE),"Unknown"))</f>
        <v>Unknown</v>
      </c>
      <c r="O336" t="s">
        <v>780</v>
      </c>
      <c r="P336">
        <f>IFERROR(VALUE(SUBSTITUTE(SUBSTITUTE(SUBSTITUTE(Table1[[#This Row],[revenue]],"EUR",""),"$",""),".",",")),"")</f>
        <v>2362.89</v>
      </c>
      <c r="Q336" t="s">
        <v>58</v>
      </c>
      <c r="R336" t="str">
        <f>IF(OR(Table1[[#This Row],[currency]]="EUR",Table1[[#This Row],[currency]]="€"),"EUR",IF(OR(Table1[[#This Row],[currency]]="USD",Table1[[#This Row],[currency]]="$"),"USD","Unknown"))</f>
        <v>USD</v>
      </c>
      <c r="S336" t="s">
        <v>47</v>
      </c>
      <c r="T336" t="str">
        <f>IFERROR(_xlfn.XLOOKUP(Table1[[#This Row],[order_status]],Table8[Original],Table8[Clean],,0,1),"Unknown")</f>
        <v>Returned</v>
      </c>
      <c r="U336" t="s">
        <v>36</v>
      </c>
      <c r="V336">
        <f>IF(ISNUMBER(Table1[[#This Row],[delivery_days]]),Table1[[#This Row],[delivery_days]],IFERROR(_xlfn.XLOOKUP(Table1[[#This Row],[delivery_days]],Table57[Original],Table57[Clean],,0,1),"Unknown"))</f>
        <v>5</v>
      </c>
    </row>
    <row r="337" spans="1:23" x14ac:dyDescent="0.3">
      <c r="B337" t="str">
        <f>IF(ISBLANK(Table1[[#This Row],[order_id]]),"",IF(LEFT(Table1[[#This Row],[order_id]],3)="ORD",Table1[[#This Row],[order_id]],"ORD-" &amp; Table1[[#This Row],[order_id]]))</f>
        <v/>
      </c>
      <c r="C337" t="s">
        <v>781</v>
      </c>
      <c r="D337" s="1" t="str">
        <f>IFERROR(DATEVALUE(Table1[[#This Row],[order_date]]),"")</f>
        <v/>
      </c>
      <c r="E337" t="s">
        <v>782</v>
      </c>
      <c r="F337" t="str">
        <f>IF(ISBLANK(Table1[[#This Row],[customer_name]]),"Unknown Customer",PROPER(SUBSTITUTE(Table1[[#This Row],[customer_name]],"Cust.","Customer")))</f>
        <v>Customer 335</v>
      </c>
      <c r="G337" t="s">
        <v>26</v>
      </c>
      <c r="H337" t="str">
        <f>IFERROR(_xlfn.XLOOKUP(Table1[[#This Row],[region]],Mappings!$C$3:$C$8,Mappings!$D$3:$D$8,,0,1),"Unknown")</f>
        <v>Asia</v>
      </c>
      <c r="I337" t="s">
        <v>50</v>
      </c>
      <c r="J337" t="str">
        <f>IFERROR(_xlfn.XLOOKUP(Table1[[#This Row],[sales_channel]],Table4[Original],Table4[Clean],,0,1),"Unknown")</f>
        <v>Mobile</v>
      </c>
      <c r="K337" t="s">
        <v>28</v>
      </c>
      <c r="L337" t="str">
        <f>IFERROR(_xlfn.XLOOKUP(Table1[[#This Row],[product]],Table3[Original],Table3[Product_clean],,0,1),"Unknown")</f>
        <v>Laptop</v>
      </c>
      <c r="M337" s="6"/>
      <c r="N337" t="str">
        <f>IF(ISNUMBER(Table1[[#This Row],[quantity]]),Table1[[#This Row],[quantity]],IFERROR(VLOOKUP(Table1[[#This Row],[quantity]],Table5[#All],2,FALSE),"Unknown"))</f>
        <v>Unknown</v>
      </c>
      <c r="O337" t="s">
        <v>783</v>
      </c>
      <c r="P337">
        <f>IFERROR(VALUE(SUBSTITUTE(SUBSTITUTE(SUBSTITUTE(Table1[[#This Row],[revenue]],"EUR",""),"$",""),".",",")),"")</f>
        <v>1080.74</v>
      </c>
      <c r="R337" t="str">
        <f>IF(OR(Table1[[#This Row],[currency]]="EUR",Table1[[#This Row],[currency]]="€"),"EUR",IF(OR(Table1[[#This Row],[currency]]="USD",Table1[[#This Row],[currency]]="$"),"USD","Unknown"))</f>
        <v>Unknown</v>
      </c>
      <c r="S337" t="s">
        <v>47</v>
      </c>
      <c r="T337" t="str">
        <f>IFERROR(_xlfn.XLOOKUP(Table1[[#This Row],[order_status]],Table8[Original],Table8[Clean],,0,1),"Unknown")</f>
        <v>Returned</v>
      </c>
      <c r="U337" t="s">
        <v>36</v>
      </c>
      <c r="V337">
        <f>IF(ISNUMBER(Table1[[#This Row],[delivery_days]]),Table1[[#This Row],[delivery_days]],IFERROR(_xlfn.XLOOKUP(Table1[[#This Row],[delivery_days]],Table57[Original],Table57[Clean],,0,1),"Unknown"))</f>
        <v>5</v>
      </c>
    </row>
    <row r="338" spans="1:23" x14ac:dyDescent="0.3">
      <c r="A338">
        <v>1336</v>
      </c>
      <c r="B338" t="str">
        <f>IF(ISBLANK(Table1[[#This Row],[order_id]]),"",IF(LEFT(Table1[[#This Row],[order_id]],3)="ORD",Table1[[#This Row],[order_id]],"ORD-" &amp; Table1[[#This Row],[order_id]]))</f>
        <v>ORD-1336</v>
      </c>
      <c r="C338" t="s">
        <v>784</v>
      </c>
      <c r="D338" s="1">
        <f>IFERROR(DATEVALUE(Table1[[#This Row],[order_date]]),"")</f>
        <v>45350</v>
      </c>
      <c r="E338" t="s">
        <v>785</v>
      </c>
      <c r="F338" t="str">
        <f>IF(ISBLANK(Table1[[#This Row],[customer_name]]),"Unknown Customer",PROPER(SUBSTITUTE(Table1[[#This Row],[customer_name]],"Cust.","Customer")))</f>
        <v>Customer 336</v>
      </c>
      <c r="H338" t="str">
        <f>IFERROR(_xlfn.XLOOKUP(Table1[[#This Row],[region]],Mappings!$C$3:$C$8,Mappings!$D$3:$D$8,,0,1),"Unknown")</f>
        <v>Unknown</v>
      </c>
      <c r="I338" t="s">
        <v>50</v>
      </c>
      <c r="J338" t="str">
        <f>IFERROR(_xlfn.XLOOKUP(Table1[[#This Row],[sales_channel]],Table4[Original],Table4[Clean],,0,1),"Unknown")</f>
        <v>Mobile</v>
      </c>
      <c r="K338" t="s">
        <v>41</v>
      </c>
      <c r="L338" t="str">
        <f>IFERROR(_xlfn.XLOOKUP(Table1[[#This Row],[product]],Table3[Original],Table3[Product_clean],,0,1),"Unknown")</f>
        <v>Phone</v>
      </c>
      <c r="M338" s="6">
        <v>1</v>
      </c>
      <c r="N338">
        <f>IF(ISNUMBER(Table1[[#This Row],[quantity]]),Table1[[#This Row],[quantity]],IFERROR(VLOOKUP(Table1[[#This Row],[quantity]],Table5[#All],2,FALSE),"Unknown"))</f>
        <v>1</v>
      </c>
      <c r="P338" t="str">
        <f>IFERROR(VALUE(SUBSTITUTE(SUBSTITUTE(SUBSTITUTE(Table1[[#This Row],[revenue]],"EUR",""),"$",""),".",",")),"")</f>
        <v/>
      </c>
      <c r="Q338" t="s">
        <v>22</v>
      </c>
      <c r="R338" t="str">
        <f>IF(OR(Table1[[#This Row],[currency]]="EUR",Table1[[#This Row],[currency]]="€"),"EUR",IF(OR(Table1[[#This Row],[currency]]="USD",Table1[[#This Row],[currency]]="$"),"USD","Unknown"))</f>
        <v>USD</v>
      </c>
      <c r="S338" t="s">
        <v>35</v>
      </c>
      <c r="T338" t="str">
        <f>IFERROR(_xlfn.XLOOKUP(Table1[[#This Row],[order_status]],Table8[Original],Table8[Clean],,0,1),"Unknown")</f>
        <v>Returned</v>
      </c>
      <c r="U338" t="s">
        <v>36</v>
      </c>
      <c r="V338">
        <f>IF(ISNUMBER(Table1[[#This Row],[delivery_days]]),Table1[[#This Row],[delivery_days]],IFERROR(_xlfn.XLOOKUP(Table1[[#This Row],[delivery_days]],Table57[Original],Table57[Clean],,0,1),"Unknown"))</f>
        <v>5</v>
      </c>
      <c r="W338" t="s">
        <v>24</v>
      </c>
    </row>
    <row r="339" spans="1:23" x14ac:dyDescent="0.3">
      <c r="B339" t="str">
        <f>IF(ISBLANK(Table1[[#This Row],[order_id]]),"",IF(LEFT(Table1[[#This Row],[order_id]],3)="ORD",Table1[[#This Row],[order_id]],"ORD-" &amp; Table1[[#This Row],[order_id]]))</f>
        <v/>
      </c>
      <c r="D339" s="1" t="str">
        <f>IFERROR(DATEVALUE(Table1[[#This Row],[order_date]]),"")</f>
        <v/>
      </c>
      <c r="F339" t="str">
        <f>IF(ISBLANK(Table1[[#This Row],[customer_name]]),"Unknown Customer",PROPER(SUBSTITUTE(Table1[[#This Row],[customer_name]],"Cust.","Customer")))</f>
        <v>Unknown Customer</v>
      </c>
      <c r="G339" t="s">
        <v>73</v>
      </c>
      <c r="H339" t="str">
        <f>IFERROR(_xlfn.XLOOKUP(Table1[[#This Row],[region]],Mappings!$C$3:$C$8,Mappings!$D$3:$D$8,,0,1),"Unknown")</f>
        <v>Europe</v>
      </c>
      <c r="I339" t="s">
        <v>50</v>
      </c>
      <c r="J339" t="str">
        <f>IFERROR(_xlfn.XLOOKUP(Table1[[#This Row],[sales_channel]],Table4[Original],Table4[Clean],,0,1),"Unknown")</f>
        <v>Mobile</v>
      </c>
      <c r="K339" t="s">
        <v>15</v>
      </c>
      <c r="L339" t="str">
        <f>IFERROR(_xlfn.XLOOKUP(Table1[[#This Row],[product]],Table3[Original],Table3[Product_clean],,0,1),"Unknown")</f>
        <v>Tablet</v>
      </c>
      <c r="M339" s="6">
        <v>2</v>
      </c>
      <c r="N339">
        <f>IF(ISNUMBER(Table1[[#This Row],[quantity]]),Table1[[#This Row],[quantity]],IFERROR(VLOOKUP(Table1[[#This Row],[quantity]],Table5[#All],2,FALSE),"Unknown"))</f>
        <v>2</v>
      </c>
      <c r="O339" t="s">
        <v>786</v>
      </c>
      <c r="P339">
        <f>IFERROR(VALUE(SUBSTITUTE(SUBSTITUTE(SUBSTITUTE(Table1[[#This Row],[revenue]],"EUR",""),"$",""),".",",")),"")</f>
        <v>2738.44</v>
      </c>
      <c r="Q339" t="s">
        <v>55</v>
      </c>
      <c r="R339" t="str">
        <f>IF(OR(Table1[[#This Row],[currency]]="EUR",Table1[[#This Row],[currency]]="€"),"EUR",IF(OR(Table1[[#This Row],[currency]]="USD",Table1[[#This Row],[currency]]="$"),"USD","Unknown"))</f>
        <v>EUR</v>
      </c>
      <c r="S339" t="s">
        <v>18</v>
      </c>
      <c r="T339" t="str">
        <f>IFERROR(_xlfn.XLOOKUP(Table1[[#This Row],[order_status]],Table8[Original],Table8[Clean],,0,1),"Unknown")</f>
        <v>Pending</v>
      </c>
      <c r="U339">
        <v>1</v>
      </c>
      <c r="V339">
        <f>IF(ISNUMBER(Table1[[#This Row],[delivery_days]]),Table1[[#This Row],[delivery_days]],IFERROR(_xlfn.XLOOKUP(Table1[[#This Row],[delivery_days]],Table57[Original],Table57[Clean],,0,1),"Unknown"))</f>
        <v>1</v>
      </c>
    </row>
    <row r="340" spans="1:23" x14ac:dyDescent="0.3">
      <c r="B340" t="str">
        <f>IF(ISBLANK(Table1[[#This Row],[order_id]]),"",IF(LEFT(Table1[[#This Row],[order_id]],3)="ORD",Table1[[#This Row],[order_id]],"ORD-" &amp; Table1[[#This Row],[order_id]]))</f>
        <v/>
      </c>
      <c r="C340" t="s">
        <v>787</v>
      </c>
      <c r="D340" s="1">
        <f>IFERROR(DATEVALUE(Table1[[#This Row],[order_date]]),"")</f>
        <v>45377</v>
      </c>
      <c r="E340" t="s">
        <v>788</v>
      </c>
      <c r="F340" t="str">
        <f>IF(ISBLANK(Table1[[#This Row],[customer_name]]),"Unknown Customer",PROPER(SUBSTITUTE(Table1[[#This Row],[customer_name]],"Cust.","Customer")))</f>
        <v>Customer 338</v>
      </c>
      <c r="H340" t="str">
        <f>IFERROR(_xlfn.XLOOKUP(Table1[[#This Row],[region]],Mappings!$C$3:$C$8,Mappings!$D$3:$D$8,,0,1),"Unknown")</f>
        <v>Unknown</v>
      </c>
      <c r="J340" t="str">
        <f>IFERROR(_xlfn.XLOOKUP(Table1[[#This Row],[sales_channel]],Table4[Original],Table4[Clean],,0,1),"Unknown")</f>
        <v>Unknown</v>
      </c>
      <c r="L340" t="str">
        <f>IFERROR(_xlfn.XLOOKUP(Table1[[#This Row],[product]],Table3[Original],Table3[Product_clean],,0,1),"Unknown")</f>
        <v>Unknown</v>
      </c>
      <c r="M340" s="6">
        <v>2</v>
      </c>
      <c r="N340">
        <f>IF(ISNUMBER(Table1[[#This Row],[quantity]]),Table1[[#This Row],[quantity]],IFERROR(VLOOKUP(Table1[[#This Row],[quantity]],Table5[#All],2,FALSE),"Unknown"))</f>
        <v>2</v>
      </c>
      <c r="O340">
        <v>2916.3</v>
      </c>
      <c r="P340">
        <f>IFERROR(VALUE(SUBSTITUTE(SUBSTITUTE(SUBSTITUTE(Table1[[#This Row],[revenue]],"EUR",""),"$",""),".",",")),"")</f>
        <v>2916.3</v>
      </c>
      <c r="Q340" t="s">
        <v>22</v>
      </c>
      <c r="R340" t="str">
        <f>IF(OR(Table1[[#This Row],[currency]]="EUR",Table1[[#This Row],[currency]]="€"),"EUR",IF(OR(Table1[[#This Row],[currency]]="USD",Table1[[#This Row],[currency]]="$"),"USD","Unknown"))</f>
        <v>USD</v>
      </c>
      <c r="S340" t="s">
        <v>30</v>
      </c>
      <c r="T340" t="str">
        <f>IFERROR(_xlfn.XLOOKUP(Table1[[#This Row],[order_status]],Table8[Original],Table8[Clean],,0,1),"Unknown")</f>
        <v>Delivered</v>
      </c>
      <c r="U340">
        <v>2</v>
      </c>
      <c r="V340">
        <f>IF(ISNUMBER(Table1[[#This Row],[delivery_days]]),Table1[[#This Row],[delivery_days]],IFERROR(_xlfn.XLOOKUP(Table1[[#This Row],[delivery_days]],Table57[Original],Table57[Clean],,0,1),"Unknown"))</f>
        <v>2</v>
      </c>
    </row>
    <row r="341" spans="1:23" x14ac:dyDescent="0.3">
      <c r="B341" t="str">
        <f>IF(ISBLANK(Table1[[#This Row],[order_id]]),"",IF(LEFT(Table1[[#This Row],[order_id]],3)="ORD",Table1[[#This Row],[order_id]],"ORD-" &amp; Table1[[#This Row],[order_id]]))</f>
        <v/>
      </c>
      <c r="C341" t="s">
        <v>789</v>
      </c>
      <c r="D341" s="1">
        <f>IFERROR(DATEVALUE(Table1[[#This Row],[order_date]]),"")</f>
        <v>45623</v>
      </c>
      <c r="E341" t="s">
        <v>790</v>
      </c>
      <c r="F341" t="str">
        <f>IF(ISBLANK(Table1[[#This Row],[customer_name]]),"Unknown Customer",PROPER(SUBSTITUTE(Table1[[#This Row],[customer_name]],"Cust.","Customer")))</f>
        <v>Customer 339</v>
      </c>
      <c r="G341" t="s">
        <v>32</v>
      </c>
      <c r="H341" t="str">
        <f>IFERROR(_xlfn.XLOOKUP(Table1[[#This Row],[region]],Mappings!$C$3:$C$8,Mappings!$D$3:$D$8,,0,1),"Unknown")</f>
        <v>Europe</v>
      </c>
      <c r="J341" t="str">
        <f>IFERROR(_xlfn.XLOOKUP(Table1[[#This Row],[sales_channel]],Table4[Original],Table4[Clean],,0,1),"Unknown")</f>
        <v>Unknown</v>
      </c>
      <c r="K341" t="s">
        <v>102</v>
      </c>
      <c r="L341" t="str">
        <f>IFERROR(_xlfn.XLOOKUP(Table1[[#This Row],[product]],Table3[Original],Table3[Product_clean],,0,1),"Unknown")</f>
        <v>Phone</v>
      </c>
      <c r="M341" s="6">
        <v>1</v>
      </c>
      <c r="N341">
        <f>IF(ISNUMBER(Table1[[#This Row],[quantity]]),Table1[[#This Row],[quantity]],IFERROR(VLOOKUP(Table1[[#This Row],[quantity]],Table5[#All],2,FALSE),"Unknown"))</f>
        <v>1</v>
      </c>
      <c r="O341">
        <v>2459.4299999999998</v>
      </c>
      <c r="P341">
        <f>IFERROR(VALUE(SUBSTITUTE(SUBSTITUTE(SUBSTITUTE(Table1[[#This Row],[revenue]],"EUR",""),"$",""),".",",")),"")</f>
        <v>2459.4299999999998</v>
      </c>
      <c r="Q341" t="s">
        <v>17</v>
      </c>
      <c r="R341" t="str">
        <f>IF(OR(Table1[[#This Row],[currency]]="EUR",Table1[[#This Row],[currency]]="€"),"EUR",IF(OR(Table1[[#This Row],[currency]]="USD",Table1[[#This Row],[currency]]="$"),"USD","Unknown"))</f>
        <v>EUR</v>
      </c>
      <c r="S341" t="s">
        <v>30</v>
      </c>
      <c r="T341" t="str">
        <f>IFERROR(_xlfn.XLOOKUP(Table1[[#This Row],[order_status]],Table8[Original],Table8[Clean],,0,1),"Unknown")</f>
        <v>Delivered</v>
      </c>
      <c r="U341">
        <v>1</v>
      </c>
      <c r="V341">
        <f>IF(ISNUMBER(Table1[[#This Row],[delivery_days]]),Table1[[#This Row],[delivery_days]],IFERROR(_xlfn.XLOOKUP(Table1[[#This Row],[delivery_days]],Table57[Original],Table57[Clean],,0,1),"Unknown"))</f>
        <v>1</v>
      </c>
      <c r="W341" t="s">
        <v>37</v>
      </c>
    </row>
    <row r="342" spans="1:23" x14ac:dyDescent="0.3">
      <c r="B342" t="str">
        <f>IF(ISBLANK(Table1[[#This Row],[order_id]]),"",IF(LEFT(Table1[[#This Row],[order_id]],3)="ORD",Table1[[#This Row],[order_id]],"ORD-" &amp; Table1[[#This Row],[order_id]]))</f>
        <v/>
      </c>
      <c r="C342" t="s">
        <v>351</v>
      </c>
      <c r="D342" s="1">
        <f>IFERROR(DATEVALUE(Table1[[#This Row],[order_date]]),"")</f>
        <v>45698</v>
      </c>
      <c r="E342" t="s">
        <v>791</v>
      </c>
      <c r="F342" t="str">
        <f>IF(ISBLANK(Table1[[#This Row],[customer_name]]),"Unknown Customer",PROPER(SUBSTITUTE(Table1[[#This Row],[customer_name]],"Cust.","Customer")))</f>
        <v>Customer 340</v>
      </c>
      <c r="G342" t="s">
        <v>32</v>
      </c>
      <c r="H342" t="str">
        <f>IFERROR(_xlfn.XLOOKUP(Table1[[#This Row],[region]],Mappings!$C$3:$C$8,Mappings!$D$3:$D$8,,0,1),"Unknown")</f>
        <v>Europe</v>
      </c>
      <c r="I342" t="s">
        <v>78</v>
      </c>
      <c r="J342" t="str">
        <f>IFERROR(_xlfn.XLOOKUP(Table1[[#This Row],[sales_channel]],Table4[Original],Table4[Clean],,0,1),"Unknown")</f>
        <v>Mobile</v>
      </c>
      <c r="K342" t="s">
        <v>41</v>
      </c>
      <c r="L342" t="str">
        <f>IFERROR(_xlfn.XLOOKUP(Table1[[#This Row],[product]],Table3[Original],Table3[Product_clean],,0,1),"Unknown")</f>
        <v>Phone</v>
      </c>
      <c r="M342" s="6" t="s">
        <v>83</v>
      </c>
      <c r="N342">
        <f>IF(ISNUMBER(Table1[[#This Row],[quantity]]),Table1[[#This Row],[quantity]],IFERROR(VLOOKUP(Table1[[#This Row],[quantity]],Table5[#All],2,FALSE),"Unknown"))</f>
        <v>2</v>
      </c>
      <c r="O342">
        <v>793.13</v>
      </c>
      <c r="P342">
        <f>IFERROR(VALUE(SUBSTITUTE(SUBSTITUTE(SUBSTITUTE(Table1[[#This Row],[revenue]],"EUR",""),"$",""),".",",")),"")</f>
        <v>793.13</v>
      </c>
      <c r="Q342" t="s">
        <v>22</v>
      </c>
      <c r="R342" t="str">
        <f>IF(OR(Table1[[#This Row],[currency]]="EUR",Table1[[#This Row],[currency]]="€"),"EUR",IF(OR(Table1[[#This Row],[currency]]="USD",Table1[[#This Row],[currency]]="$"),"USD","Unknown"))</f>
        <v>USD</v>
      </c>
      <c r="S342" t="s">
        <v>35</v>
      </c>
      <c r="T342" t="str">
        <f>IFERROR(_xlfn.XLOOKUP(Table1[[#This Row],[order_status]],Table8[Original],Table8[Clean],,0,1),"Unknown")</f>
        <v>Returned</v>
      </c>
      <c r="U342">
        <v>1</v>
      </c>
      <c r="V342">
        <f>IF(ISNUMBER(Table1[[#This Row],[delivery_days]]),Table1[[#This Row],[delivery_days]],IFERROR(_xlfn.XLOOKUP(Table1[[#This Row],[delivery_days]],Table57[Original],Table57[Clean],,0,1),"Unknown"))</f>
        <v>1</v>
      </c>
    </row>
    <row r="343" spans="1:23" x14ac:dyDescent="0.3">
      <c r="B343" t="str">
        <f>IF(ISBLANK(Table1[[#This Row],[order_id]]),"",IF(LEFT(Table1[[#This Row],[order_id]],3)="ORD",Table1[[#This Row],[order_id]],"ORD-" &amp; Table1[[#This Row],[order_id]]))</f>
        <v/>
      </c>
      <c r="C343" t="s">
        <v>792</v>
      </c>
      <c r="D343" s="1">
        <f>IFERROR(DATEVALUE(Table1[[#This Row],[order_date]]),"")</f>
        <v>45636</v>
      </c>
      <c r="E343" t="s">
        <v>793</v>
      </c>
      <c r="F343" t="str">
        <f>IF(ISBLANK(Table1[[#This Row],[customer_name]]),"Unknown Customer",PROPER(SUBSTITUTE(Table1[[#This Row],[customer_name]],"Cust.","Customer")))</f>
        <v>Customer 341</v>
      </c>
      <c r="H343" t="str">
        <f>IFERROR(_xlfn.XLOOKUP(Table1[[#This Row],[region]],Mappings!$C$3:$C$8,Mappings!$D$3:$D$8,,0,1),"Unknown")</f>
        <v>Unknown</v>
      </c>
      <c r="I343" t="s">
        <v>14</v>
      </c>
      <c r="J343" t="str">
        <f>IFERROR(_xlfn.XLOOKUP(Table1[[#This Row],[sales_channel]],Table4[Original],Table4[Clean],,0,1),"Unknown")</f>
        <v>Online</v>
      </c>
      <c r="K343" t="s">
        <v>102</v>
      </c>
      <c r="L343" t="str">
        <f>IFERROR(_xlfn.XLOOKUP(Table1[[#This Row],[product]],Table3[Original],Table3[Product_clean],,0,1),"Unknown")</f>
        <v>Phone</v>
      </c>
      <c r="M343" s="6"/>
      <c r="N343" t="str">
        <f>IF(ISNUMBER(Table1[[#This Row],[quantity]]),Table1[[#This Row],[quantity]],IFERROR(VLOOKUP(Table1[[#This Row],[quantity]],Table5[#All],2,FALSE),"Unknown"))</f>
        <v>Unknown</v>
      </c>
      <c r="O343">
        <v>399</v>
      </c>
      <c r="P343">
        <f>IFERROR(VALUE(SUBSTITUTE(SUBSTITUTE(SUBSTITUTE(Table1[[#This Row],[revenue]],"EUR",""),"$",""),".",",")),"")</f>
        <v>399</v>
      </c>
      <c r="Q343" t="s">
        <v>17</v>
      </c>
      <c r="R343" t="str">
        <f>IF(OR(Table1[[#This Row],[currency]]="EUR",Table1[[#This Row],[currency]]="€"),"EUR",IF(OR(Table1[[#This Row],[currency]]="USD",Table1[[#This Row],[currency]]="$"),"USD","Unknown"))</f>
        <v>EUR</v>
      </c>
      <c r="S343" t="s">
        <v>35</v>
      </c>
      <c r="T343" t="str">
        <f>IFERROR(_xlfn.XLOOKUP(Table1[[#This Row],[order_status]],Table8[Original],Table8[Clean],,0,1),"Unknown")</f>
        <v>Returned</v>
      </c>
      <c r="V343" t="str">
        <f>IF(ISNUMBER(Table1[[#This Row],[delivery_days]]),Table1[[#This Row],[delivery_days]],IFERROR(_xlfn.XLOOKUP(Table1[[#This Row],[delivery_days]],Table57[Original],Table57[Clean],,0,1),"Unknown"))</f>
        <v>Unknown</v>
      </c>
      <c r="W343" t="s">
        <v>24</v>
      </c>
    </row>
    <row r="344" spans="1:23" x14ac:dyDescent="0.3">
      <c r="A344" t="s">
        <v>794</v>
      </c>
      <c r="B344" t="str">
        <f>IF(ISBLANK(Table1[[#This Row],[order_id]]),"",IF(LEFT(Table1[[#This Row],[order_id]],3)="ORD",Table1[[#This Row],[order_id]],"ORD-" &amp; Table1[[#This Row],[order_id]]))</f>
        <v>ORD-1342</v>
      </c>
      <c r="D344" s="1" t="str">
        <f>IFERROR(DATEVALUE(Table1[[#This Row],[order_date]]),"")</f>
        <v/>
      </c>
      <c r="E344" t="s">
        <v>795</v>
      </c>
      <c r="F344" t="str">
        <f>IF(ISBLANK(Table1[[#This Row],[customer_name]]),"Unknown Customer",PROPER(SUBSTITUTE(Table1[[#This Row],[customer_name]],"Cust.","Customer")))</f>
        <v>Customer 342</v>
      </c>
      <c r="G344" t="s">
        <v>32</v>
      </c>
      <c r="H344" t="str">
        <f>IFERROR(_xlfn.XLOOKUP(Table1[[#This Row],[region]],Mappings!$C$3:$C$8,Mappings!$D$3:$D$8,,0,1),"Unknown")</f>
        <v>Europe</v>
      </c>
      <c r="I344" t="s">
        <v>27</v>
      </c>
      <c r="J344" t="str">
        <f>IFERROR(_xlfn.XLOOKUP(Table1[[#This Row],[sales_channel]],Table4[Original],Table4[Clean],,0,1),"Unknown")</f>
        <v>Online</v>
      </c>
      <c r="K344" t="s">
        <v>33</v>
      </c>
      <c r="L344" t="str">
        <f>IFERROR(_xlfn.XLOOKUP(Table1[[#This Row],[product]],Table3[Original],Table3[Product_clean],,0,1),"Unknown")</f>
        <v>Tablet</v>
      </c>
      <c r="M344" s="6">
        <v>2</v>
      </c>
      <c r="N344">
        <f>IF(ISNUMBER(Table1[[#This Row],[quantity]]),Table1[[#This Row],[quantity]],IFERROR(VLOOKUP(Table1[[#This Row],[quantity]],Table5[#All],2,FALSE),"Unknown"))</f>
        <v>2</v>
      </c>
      <c r="P344" t="str">
        <f>IFERROR(VALUE(SUBSTITUTE(SUBSTITUTE(SUBSTITUTE(Table1[[#This Row],[revenue]],"EUR",""),"$",""),".",",")),"")</f>
        <v/>
      </c>
      <c r="Q344" t="s">
        <v>58</v>
      </c>
      <c r="R344" t="str">
        <f>IF(OR(Table1[[#This Row],[currency]]="EUR",Table1[[#This Row],[currency]]="€"),"EUR",IF(OR(Table1[[#This Row],[currency]]="USD",Table1[[#This Row],[currency]]="$"),"USD","Unknown"))</f>
        <v>USD</v>
      </c>
      <c r="T344" t="str">
        <f>IFERROR(_xlfn.XLOOKUP(Table1[[#This Row],[order_status]],Table8[Original],Table8[Clean],,0,1),"Unknown")</f>
        <v>Unknown</v>
      </c>
      <c r="U344">
        <v>5</v>
      </c>
      <c r="V344">
        <f>IF(ISNUMBER(Table1[[#This Row],[delivery_days]]),Table1[[#This Row],[delivery_days]],IFERROR(_xlfn.XLOOKUP(Table1[[#This Row],[delivery_days]],Table57[Original],Table57[Clean],,0,1),"Unknown"))</f>
        <v>5</v>
      </c>
      <c r="W344" t="s">
        <v>24</v>
      </c>
    </row>
    <row r="345" spans="1:23" x14ac:dyDescent="0.3">
      <c r="A345">
        <v>1343</v>
      </c>
      <c r="B345" t="str">
        <f>IF(ISBLANK(Table1[[#This Row],[order_id]]),"",IF(LEFT(Table1[[#This Row],[order_id]],3)="ORD",Table1[[#This Row],[order_id]],"ORD-" &amp; Table1[[#This Row],[order_id]]))</f>
        <v>ORD-1343</v>
      </c>
      <c r="C345" t="s">
        <v>796</v>
      </c>
      <c r="D345" s="1">
        <f>IFERROR(DATEVALUE(Table1[[#This Row],[order_date]]),"")</f>
        <v>45616</v>
      </c>
      <c r="E345" t="s">
        <v>797</v>
      </c>
      <c r="F345" t="str">
        <f>IF(ISBLANK(Table1[[#This Row],[customer_name]]),"Unknown Customer",PROPER(SUBSTITUTE(Table1[[#This Row],[customer_name]],"Cust.","Customer")))</f>
        <v>Customer 343</v>
      </c>
      <c r="G345" t="s">
        <v>73</v>
      </c>
      <c r="H345" t="str">
        <f>IFERROR(_xlfn.XLOOKUP(Table1[[#This Row],[region]],Mappings!$C$3:$C$8,Mappings!$D$3:$D$8,,0,1),"Unknown")</f>
        <v>Europe</v>
      </c>
      <c r="I345" t="s">
        <v>14</v>
      </c>
      <c r="J345" t="str">
        <f>IFERROR(_xlfn.XLOOKUP(Table1[[#This Row],[sales_channel]],Table4[Original],Table4[Clean],,0,1),"Unknown")</f>
        <v>Online</v>
      </c>
      <c r="K345" t="s">
        <v>33</v>
      </c>
      <c r="L345" t="str">
        <f>IFERROR(_xlfn.XLOOKUP(Table1[[#This Row],[product]],Table3[Original],Table3[Product_clean],,0,1),"Unknown")</f>
        <v>Tablet</v>
      </c>
      <c r="M345" s="6"/>
      <c r="N345" t="str">
        <f>IF(ISNUMBER(Table1[[#This Row],[quantity]]),Table1[[#This Row],[quantity]],IFERROR(VLOOKUP(Table1[[#This Row],[quantity]],Table5[#All],2,FALSE),"Unknown"))</f>
        <v>Unknown</v>
      </c>
      <c r="O345" t="s">
        <v>798</v>
      </c>
      <c r="P345">
        <f>IFERROR(VALUE(SUBSTITUTE(SUBSTITUTE(SUBSTITUTE(Table1[[#This Row],[revenue]],"EUR",""),"$",""),".",",")),"")</f>
        <v>475.02</v>
      </c>
      <c r="Q345" t="s">
        <v>22</v>
      </c>
      <c r="R345" t="str">
        <f>IF(OR(Table1[[#This Row],[currency]]="EUR",Table1[[#This Row],[currency]]="€"),"EUR",IF(OR(Table1[[#This Row],[currency]]="USD",Table1[[#This Row],[currency]]="$"),"USD","Unknown"))</f>
        <v>USD</v>
      </c>
      <c r="S345" t="s">
        <v>18</v>
      </c>
      <c r="T345" t="str">
        <f>IFERROR(_xlfn.XLOOKUP(Table1[[#This Row],[order_status]],Table8[Original],Table8[Clean],,0,1),"Unknown")</f>
        <v>Pending</v>
      </c>
      <c r="U345" t="s">
        <v>36</v>
      </c>
      <c r="V345">
        <f>IF(ISNUMBER(Table1[[#This Row],[delivery_days]]),Table1[[#This Row],[delivery_days]],IFERROR(_xlfn.XLOOKUP(Table1[[#This Row],[delivery_days]],Table57[Original],Table57[Clean],,0,1),"Unknown"))</f>
        <v>5</v>
      </c>
    </row>
    <row r="346" spans="1:23" x14ac:dyDescent="0.3">
      <c r="A346">
        <v>1344</v>
      </c>
      <c r="B346" t="str">
        <f>IF(ISBLANK(Table1[[#This Row],[order_id]]),"",IF(LEFT(Table1[[#This Row],[order_id]],3)="ORD",Table1[[#This Row],[order_id]],"ORD-" &amp; Table1[[#This Row],[order_id]]))</f>
        <v>ORD-1344</v>
      </c>
      <c r="D346" s="1" t="str">
        <f>IFERROR(DATEVALUE(Table1[[#This Row],[order_date]]),"")</f>
        <v/>
      </c>
      <c r="E346" t="s">
        <v>799</v>
      </c>
      <c r="F346" t="str">
        <f>IF(ISBLANK(Table1[[#This Row],[customer_name]]),"Unknown Customer",PROPER(SUBSTITUTE(Table1[[#This Row],[customer_name]],"Cust.","Customer")))</f>
        <v>Customer 344</v>
      </c>
      <c r="G346" t="s">
        <v>54</v>
      </c>
      <c r="H346" t="str">
        <f>IFERROR(_xlfn.XLOOKUP(Table1[[#This Row],[region]],Mappings!$C$3:$C$8,Mappings!$D$3:$D$8,,0,1),"Unknown")</f>
        <v>USA</v>
      </c>
      <c r="I346" t="s">
        <v>27</v>
      </c>
      <c r="J346" t="str">
        <f>IFERROR(_xlfn.XLOOKUP(Table1[[#This Row],[sales_channel]],Table4[Original],Table4[Clean],,0,1),"Unknown")</f>
        <v>Online</v>
      </c>
      <c r="K346" t="s">
        <v>28</v>
      </c>
      <c r="L346" t="str">
        <f>IFERROR(_xlfn.XLOOKUP(Table1[[#This Row],[product]],Table3[Original],Table3[Product_clean],,0,1),"Unknown")</f>
        <v>Laptop</v>
      </c>
      <c r="M346" s="6"/>
      <c r="N346" t="str">
        <f>IF(ISNUMBER(Table1[[#This Row],[quantity]]),Table1[[#This Row],[quantity]],IFERROR(VLOOKUP(Table1[[#This Row],[quantity]],Table5[#All],2,FALSE),"Unknown"))</f>
        <v>Unknown</v>
      </c>
      <c r="O346" t="s">
        <v>800</v>
      </c>
      <c r="P346">
        <f>IFERROR(VALUE(SUBSTITUTE(SUBSTITUTE(SUBSTITUTE(Table1[[#This Row],[revenue]],"EUR",""),"$",""),".",",")),"")</f>
        <v>669.66</v>
      </c>
      <c r="Q346" t="s">
        <v>55</v>
      </c>
      <c r="R346" t="str">
        <f>IF(OR(Table1[[#This Row],[currency]]="EUR",Table1[[#This Row],[currency]]="€"),"EUR",IF(OR(Table1[[#This Row],[currency]]="USD",Table1[[#This Row],[currency]]="$"),"USD","Unknown"))</f>
        <v>EUR</v>
      </c>
      <c r="S346" t="s">
        <v>23</v>
      </c>
      <c r="T346" t="str">
        <f>IFERROR(_xlfn.XLOOKUP(Table1[[#This Row],[order_status]],Table8[Original],Table8[Clean],,0,1),"Unknown")</f>
        <v>Delivered</v>
      </c>
      <c r="U346">
        <v>1</v>
      </c>
      <c r="V346">
        <f>IF(ISNUMBER(Table1[[#This Row],[delivery_days]]),Table1[[#This Row],[delivery_days]],IFERROR(_xlfn.XLOOKUP(Table1[[#This Row],[delivery_days]],Table57[Original],Table57[Clean],,0,1),"Unknown"))</f>
        <v>1</v>
      </c>
      <c r="W346" t="s">
        <v>37</v>
      </c>
    </row>
    <row r="347" spans="1:23" x14ac:dyDescent="0.3">
      <c r="B347" t="str">
        <f>IF(ISBLANK(Table1[[#This Row],[order_id]]),"",IF(LEFT(Table1[[#This Row],[order_id]],3)="ORD",Table1[[#This Row],[order_id]],"ORD-" &amp; Table1[[#This Row],[order_id]]))</f>
        <v/>
      </c>
      <c r="D347" s="1" t="str">
        <f>IFERROR(DATEVALUE(Table1[[#This Row],[order_date]]),"")</f>
        <v/>
      </c>
      <c r="E347" t="s">
        <v>801</v>
      </c>
      <c r="F347" t="str">
        <f>IF(ISBLANK(Table1[[#This Row],[customer_name]]),"Unknown Customer",PROPER(SUBSTITUTE(Table1[[#This Row],[customer_name]],"Cust.","Customer")))</f>
        <v>Customer 345</v>
      </c>
      <c r="G347" t="s">
        <v>26</v>
      </c>
      <c r="H347" t="str">
        <f>IFERROR(_xlfn.XLOOKUP(Table1[[#This Row],[region]],Mappings!$C$3:$C$8,Mappings!$D$3:$D$8,,0,1),"Unknown")</f>
        <v>Asia</v>
      </c>
      <c r="J347" t="str">
        <f>IFERROR(_xlfn.XLOOKUP(Table1[[#This Row],[sales_channel]],Table4[Original],Table4[Clean],,0,1),"Unknown")</f>
        <v>Unknown</v>
      </c>
      <c r="K347" t="s">
        <v>51</v>
      </c>
      <c r="L347" t="str">
        <f>IFERROR(_xlfn.XLOOKUP(Table1[[#This Row],[product]],Table3[Original],Table3[Product_clean],,0,1),"Unknown")</f>
        <v>Laptop</v>
      </c>
      <c r="M347" s="6">
        <v>3</v>
      </c>
      <c r="N347">
        <f>IF(ISNUMBER(Table1[[#This Row],[quantity]]),Table1[[#This Row],[quantity]],IFERROR(VLOOKUP(Table1[[#This Row],[quantity]],Table5[#All],2,FALSE),"Unknown"))</f>
        <v>3</v>
      </c>
      <c r="O347">
        <v>2409</v>
      </c>
      <c r="P347">
        <f>IFERROR(VALUE(SUBSTITUTE(SUBSTITUTE(SUBSTITUTE(Table1[[#This Row],[revenue]],"EUR",""),"$",""),".",",")),"")</f>
        <v>2409</v>
      </c>
      <c r="Q347" t="s">
        <v>17</v>
      </c>
      <c r="R347" t="str">
        <f>IF(OR(Table1[[#This Row],[currency]]="EUR",Table1[[#This Row],[currency]]="€"),"EUR",IF(OR(Table1[[#This Row],[currency]]="USD",Table1[[#This Row],[currency]]="$"),"USD","Unknown"))</f>
        <v>EUR</v>
      </c>
      <c r="S347" t="s">
        <v>23</v>
      </c>
      <c r="T347" t="str">
        <f>IFERROR(_xlfn.XLOOKUP(Table1[[#This Row],[order_status]],Table8[Original],Table8[Clean],,0,1),"Unknown")</f>
        <v>Delivered</v>
      </c>
      <c r="V347" t="str">
        <f>IF(ISNUMBER(Table1[[#This Row],[delivery_days]]),Table1[[#This Row],[delivery_days]],IFERROR(_xlfn.XLOOKUP(Table1[[#This Row],[delivery_days]],Table57[Original],Table57[Clean],,0,1),"Unknown"))</f>
        <v>Unknown</v>
      </c>
    </row>
    <row r="348" spans="1:23" x14ac:dyDescent="0.3">
      <c r="A348">
        <v>1346</v>
      </c>
      <c r="B348" t="str">
        <f>IF(ISBLANK(Table1[[#This Row],[order_id]]),"",IF(LEFT(Table1[[#This Row],[order_id]],3)="ORD",Table1[[#This Row],[order_id]],"ORD-" &amp; Table1[[#This Row],[order_id]]))</f>
        <v>ORD-1346</v>
      </c>
      <c r="C348" t="s">
        <v>802</v>
      </c>
      <c r="D348" s="1" t="str">
        <f>IFERROR(DATEVALUE(Table1[[#This Row],[order_date]]),"")</f>
        <v/>
      </c>
      <c r="E348" t="s">
        <v>803</v>
      </c>
      <c r="F348" t="str">
        <f>IF(ISBLANK(Table1[[#This Row],[customer_name]]),"Unknown Customer",PROPER(SUBSTITUTE(Table1[[#This Row],[customer_name]],"Cust.","Customer")))</f>
        <v>Customer 346</v>
      </c>
      <c r="G348" t="s">
        <v>54</v>
      </c>
      <c r="H348" t="str">
        <f>IFERROR(_xlfn.XLOOKUP(Table1[[#This Row],[region]],Mappings!$C$3:$C$8,Mappings!$D$3:$D$8,,0,1),"Unknown")</f>
        <v>USA</v>
      </c>
      <c r="I348" t="s">
        <v>50</v>
      </c>
      <c r="J348" t="str">
        <f>IFERROR(_xlfn.XLOOKUP(Table1[[#This Row],[sales_channel]],Table4[Original],Table4[Clean],,0,1),"Unknown")</f>
        <v>Mobile</v>
      </c>
      <c r="K348" t="s">
        <v>41</v>
      </c>
      <c r="L348" t="str">
        <f>IFERROR(_xlfn.XLOOKUP(Table1[[#This Row],[product]],Table3[Original],Table3[Product_clean],,0,1),"Unknown")</f>
        <v>Phone</v>
      </c>
      <c r="M348" s="6" t="s">
        <v>83</v>
      </c>
      <c r="N348">
        <f>IF(ISNUMBER(Table1[[#This Row],[quantity]]),Table1[[#This Row],[quantity]],IFERROR(VLOOKUP(Table1[[#This Row],[quantity]],Table5[#All],2,FALSE),"Unknown"))</f>
        <v>2</v>
      </c>
      <c r="O348" t="s">
        <v>804</v>
      </c>
      <c r="P348">
        <f>IFERROR(VALUE(SUBSTITUTE(SUBSTITUTE(SUBSTITUTE(Table1[[#This Row],[revenue]],"EUR",""),"$",""),".",",")),"")</f>
        <v>1103.56</v>
      </c>
      <c r="Q348" t="s">
        <v>55</v>
      </c>
      <c r="R348" t="str">
        <f>IF(OR(Table1[[#This Row],[currency]]="EUR",Table1[[#This Row],[currency]]="€"),"EUR",IF(OR(Table1[[#This Row],[currency]]="USD",Table1[[#This Row],[currency]]="$"),"USD","Unknown"))</f>
        <v>EUR</v>
      </c>
      <c r="S348" t="s">
        <v>18</v>
      </c>
      <c r="T348" t="str">
        <f>IFERROR(_xlfn.XLOOKUP(Table1[[#This Row],[order_status]],Table8[Original],Table8[Clean],,0,1),"Unknown")</f>
        <v>Pending</v>
      </c>
      <c r="V348" t="str">
        <f>IF(ISNUMBER(Table1[[#This Row],[delivery_days]]),Table1[[#This Row],[delivery_days]],IFERROR(_xlfn.XLOOKUP(Table1[[#This Row],[delivery_days]],Table57[Original],Table57[Clean],,0,1),"Unknown"))</f>
        <v>Unknown</v>
      </c>
      <c r="W348" t="s">
        <v>24</v>
      </c>
    </row>
    <row r="349" spans="1:23" x14ac:dyDescent="0.3">
      <c r="A349" t="s">
        <v>805</v>
      </c>
      <c r="B349" t="str">
        <f>IF(ISBLANK(Table1[[#This Row],[order_id]]),"",IF(LEFT(Table1[[#This Row],[order_id]],3)="ORD",Table1[[#This Row],[order_id]],"ORD-" &amp; Table1[[#This Row],[order_id]]))</f>
        <v>ORD-1347</v>
      </c>
      <c r="D349" s="1" t="str">
        <f>IFERROR(DATEVALUE(Table1[[#This Row],[order_date]]),"")</f>
        <v/>
      </c>
      <c r="E349" t="s">
        <v>806</v>
      </c>
      <c r="F349" t="str">
        <f>IF(ISBLANK(Table1[[#This Row],[customer_name]]),"Unknown Customer",PROPER(SUBSTITUTE(Table1[[#This Row],[customer_name]],"Cust.","Customer")))</f>
        <v>Customer 347</v>
      </c>
      <c r="G349" t="s">
        <v>73</v>
      </c>
      <c r="H349" t="str">
        <f>IFERROR(_xlfn.XLOOKUP(Table1[[#This Row],[region]],Mappings!$C$3:$C$8,Mappings!$D$3:$D$8,,0,1),"Unknown")</f>
        <v>Europe</v>
      </c>
      <c r="I349" t="s">
        <v>50</v>
      </c>
      <c r="J349" t="str">
        <f>IFERROR(_xlfn.XLOOKUP(Table1[[#This Row],[sales_channel]],Table4[Original],Table4[Clean],,0,1),"Unknown")</f>
        <v>Mobile</v>
      </c>
      <c r="K349" t="s">
        <v>28</v>
      </c>
      <c r="L349" t="str">
        <f>IFERROR(_xlfn.XLOOKUP(Table1[[#This Row],[product]],Table3[Original],Table3[Product_clean],,0,1),"Unknown")</f>
        <v>Laptop</v>
      </c>
      <c r="M349" s="6">
        <v>2</v>
      </c>
      <c r="N349">
        <f>IF(ISNUMBER(Table1[[#This Row],[quantity]]),Table1[[#This Row],[quantity]],IFERROR(VLOOKUP(Table1[[#This Row],[quantity]],Table5[#All],2,FALSE),"Unknown"))</f>
        <v>2</v>
      </c>
      <c r="O349" t="s">
        <v>807</v>
      </c>
      <c r="P349">
        <f>IFERROR(VALUE(SUBSTITUTE(SUBSTITUTE(SUBSTITUTE(Table1[[#This Row],[revenue]],"EUR",""),"$",""),".",",")),"")</f>
        <v>1773.3</v>
      </c>
      <c r="Q349" t="s">
        <v>22</v>
      </c>
      <c r="R349" t="str">
        <f>IF(OR(Table1[[#This Row],[currency]]="EUR",Table1[[#This Row],[currency]]="€"),"EUR",IF(OR(Table1[[#This Row],[currency]]="USD",Table1[[#This Row],[currency]]="$"),"USD","Unknown"))</f>
        <v>USD</v>
      </c>
      <c r="S349" t="s">
        <v>35</v>
      </c>
      <c r="T349" t="str">
        <f>IFERROR(_xlfn.XLOOKUP(Table1[[#This Row],[order_status]],Table8[Original],Table8[Clean],,0,1),"Unknown")</f>
        <v>Returned</v>
      </c>
      <c r="U349">
        <v>3</v>
      </c>
      <c r="V349">
        <f>IF(ISNUMBER(Table1[[#This Row],[delivery_days]]),Table1[[#This Row],[delivery_days]],IFERROR(_xlfn.XLOOKUP(Table1[[#This Row],[delivery_days]],Table57[Original],Table57[Clean],,0,1),"Unknown"))</f>
        <v>3</v>
      </c>
      <c r="W349" t="s">
        <v>37</v>
      </c>
    </row>
    <row r="350" spans="1:23" x14ac:dyDescent="0.3">
      <c r="A350" t="s">
        <v>808</v>
      </c>
      <c r="B350" t="str">
        <f>IF(ISBLANK(Table1[[#This Row],[order_id]]),"",IF(LEFT(Table1[[#This Row],[order_id]],3)="ORD",Table1[[#This Row],[order_id]],"ORD-" &amp; Table1[[#This Row],[order_id]]))</f>
        <v>ORD-1348</v>
      </c>
      <c r="D350" s="1" t="str">
        <f>IFERROR(DATEVALUE(Table1[[#This Row],[order_date]]),"")</f>
        <v/>
      </c>
      <c r="E350" t="s">
        <v>809</v>
      </c>
      <c r="F350" t="str">
        <f>IF(ISBLANK(Table1[[#This Row],[customer_name]]),"Unknown Customer",PROPER(SUBSTITUTE(Table1[[#This Row],[customer_name]],"Cust.","Customer")))</f>
        <v>Customer 348</v>
      </c>
      <c r="H350" t="str">
        <f>IFERROR(_xlfn.XLOOKUP(Table1[[#This Row],[region]],Mappings!$C$3:$C$8,Mappings!$D$3:$D$8,,0,1),"Unknown")</f>
        <v>Unknown</v>
      </c>
      <c r="I350" t="s">
        <v>50</v>
      </c>
      <c r="J350" t="str">
        <f>IFERROR(_xlfn.XLOOKUP(Table1[[#This Row],[sales_channel]],Table4[Original],Table4[Clean],,0,1),"Unknown")</f>
        <v>Mobile</v>
      </c>
      <c r="K350" t="s">
        <v>41</v>
      </c>
      <c r="L350" t="str">
        <f>IFERROR(_xlfn.XLOOKUP(Table1[[#This Row],[product]],Table3[Original],Table3[Product_clean],,0,1),"Unknown")</f>
        <v>Phone</v>
      </c>
      <c r="M350" s="6"/>
      <c r="N350" t="str">
        <f>IF(ISNUMBER(Table1[[#This Row],[quantity]]),Table1[[#This Row],[quantity]],IFERROR(VLOOKUP(Table1[[#This Row],[quantity]],Table5[#All],2,FALSE),"Unknown"))</f>
        <v>Unknown</v>
      </c>
      <c r="P350" t="str">
        <f>IFERROR(VALUE(SUBSTITUTE(SUBSTITUTE(SUBSTITUTE(Table1[[#This Row],[revenue]],"EUR",""),"$",""),".",",")),"")</f>
        <v/>
      </c>
      <c r="Q350" t="s">
        <v>17</v>
      </c>
      <c r="R350" t="str">
        <f>IF(OR(Table1[[#This Row],[currency]]="EUR",Table1[[#This Row],[currency]]="€"),"EUR",IF(OR(Table1[[#This Row],[currency]]="USD",Table1[[#This Row],[currency]]="$"),"USD","Unknown"))</f>
        <v>EUR</v>
      </c>
      <c r="S350" t="s">
        <v>23</v>
      </c>
      <c r="T350" t="str">
        <f>IFERROR(_xlfn.XLOOKUP(Table1[[#This Row],[order_status]],Table8[Original],Table8[Clean],,0,1),"Unknown")</f>
        <v>Delivered</v>
      </c>
      <c r="V350" t="str">
        <f>IF(ISNUMBER(Table1[[#This Row],[delivery_days]]),Table1[[#This Row],[delivery_days]],IFERROR(_xlfn.XLOOKUP(Table1[[#This Row],[delivery_days]],Table57[Original],Table57[Clean],,0,1),"Unknown"))</f>
        <v>Unknown</v>
      </c>
    </row>
    <row r="351" spans="1:23" x14ac:dyDescent="0.3">
      <c r="B351" t="str">
        <f>IF(ISBLANK(Table1[[#This Row],[order_id]]),"",IF(LEFT(Table1[[#This Row],[order_id]],3)="ORD",Table1[[#This Row],[order_id]],"ORD-" &amp; Table1[[#This Row],[order_id]]))</f>
        <v/>
      </c>
      <c r="C351" t="s">
        <v>810</v>
      </c>
      <c r="D351" s="1">
        <f>IFERROR(DATEVALUE(Table1[[#This Row],[order_date]]),"")</f>
        <v>45435</v>
      </c>
      <c r="E351" t="s">
        <v>811</v>
      </c>
      <c r="F351" t="str">
        <f>IF(ISBLANK(Table1[[#This Row],[customer_name]]),"Unknown Customer",PROPER(SUBSTITUTE(Table1[[#This Row],[customer_name]],"Cust.","Customer")))</f>
        <v>Customer 349</v>
      </c>
      <c r="H351" t="str">
        <f>IFERROR(_xlfn.XLOOKUP(Table1[[#This Row],[region]],Mappings!$C$3:$C$8,Mappings!$D$3:$D$8,,0,1),"Unknown")</f>
        <v>Unknown</v>
      </c>
      <c r="J351" t="str">
        <f>IFERROR(_xlfn.XLOOKUP(Table1[[#This Row],[sales_channel]],Table4[Original],Table4[Clean],,0,1),"Unknown")</f>
        <v>Unknown</v>
      </c>
      <c r="K351" t="s">
        <v>51</v>
      </c>
      <c r="L351" t="str">
        <f>IFERROR(_xlfn.XLOOKUP(Table1[[#This Row],[product]],Table3[Original],Table3[Product_clean],,0,1),"Unknown")</f>
        <v>Laptop</v>
      </c>
      <c r="M351" s="6">
        <v>1</v>
      </c>
      <c r="N351">
        <f>IF(ISNUMBER(Table1[[#This Row],[quantity]]),Table1[[#This Row],[quantity]],IFERROR(VLOOKUP(Table1[[#This Row],[quantity]],Table5[#All],2,FALSE),"Unknown"))</f>
        <v>1</v>
      </c>
      <c r="O351" t="s">
        <v>812</v>
      </c>
      <c r="P351">
        <f>IFERROR(VALUE(SUBSTITUTE(SUBSTITUTE(SUBSTITUTE(Table1[[#This Row],[revenue]],"EUR",""),"$",""),".",",")),"")</f>
        <v>2583.21</v>
      </c>
      <c r="Q351" t="s">
        <v>17</v>
      </c>
      <c r="R351" t="str">
        <f>IF(OR(Table1[[#This Row],[currency]]="EUR",Table1[[#This Row],[currency]]="€"),"EUR",IF(OR(Table1[[#This Row],[currency]]="USD",Table1[[#This Row],[currency]]="$"),"USD","Unknown"))</f>
        <v>EUR</v>
      </c>
      <c r="S351" t="s">
        <v>18</v>
      </c>
      <c r="T351" t="str">
        <f>IFERROR(_xlfn.XLOOKUP(Table1[[#This Row],[order_status]],Table8[Original],Table8[Clean],,0,1),"Unknown")</f>
        <v>Pending</v>
      </c>
      <c r="V351" t="str">
        <f>IF(ISNUMBER(Table1[[#This Row],[delivery_days]]),Table1[[#This Row],[delivery_days]],IFERROR(_xlfn.XLOOKUP(Table1[[#This Row],[delivery_days]],Table57[Original],Table57[Clean],,0,1),"Unknown"))</f>
        <v>Unknown</v>
      </c>
    </row>
    <row r="352" spans="1:23" x14ac:dyDescent="0.3">
      <c r="B352" t="str">
        <f>IF(ISBLANK(Table1[[#This Row],[order_id]]),"",IF(LEFT(Table1[[#This Row],[order_id]],3)="ORD",Table1[[#This Row],[order_id]],"ORD-" &amp; Table1[[#This Row],[order_id]]))</f>
        <v/>
      </c>
      <c r="C352" t="s">
        <v>813</v>
      </c>
      <c r="D352" s="1">
        <f>IFERROR(DATEVALUE(Table1[[#This Row],[order_date]]),"")</f>
        <v>45708</v>
      </c>
      <c r="E352" t="s">
        <v>814</v>
      </c>
      <c r="F352" t="str">
        <f>IF(ISBLANK(Table1[[#This Row],[customer_name]]),"Unknown Customer",PROPER(SUBSTITUTE(Table1[[#This Row],[customer_name]],"Cust.","Customer")))</f>
        <v>Customer 350</v>
      </c>
      <c r="G352" t="s">
        <v>45</v>
      </c>
      <c r="H352" t="str">
        <f>IFERROR(_xlfn.XLOOKUP(Table1[[#This Row],[region]],Mappings!$C$3:$C$8,Mappings!$D$3:$D$8,,0,1),"Unknown")</f>
        <v>USA</v>
      </c>
      <c r="I352" t="s">
        <v>50</v>
      </c>
      <c r="J352" t="str">
        <f>IFERROR(_xlfn.XLOOKUP(Table1[[#This Row],[sales_channel]],Table4[Original],Table4[Clean],,0,1),"Unknown")</f>
        <v>Mobile</v>
      </c>
      <c r="K352" t="s">
        <v>33</v>
      </c>
      <c r="L352" t="str">
        <f>IFERROR(_xlfn.XLOOKUP(Table1[[#This Row],[product]],Table3[Original],Table3[Product_clean],,0,1),"Unknown")</f>
        <v>Tablet</v>
      </c>
      <c r="M352" s="6"/>
      <c r="N352" t="str">
        <f>IF(ISNUMBER(Table1[[#This Row],[quantity]]),Table1[[#This Row],[quantity]],IFERROR(VLOOKUP(Table1[[#This Row],[quantity]],Table5[#All],2,FALSE),"Unknown"))</f>
        <v>Unknown</v>
      </c>
      <c r="P352" t="str">
        <f>IFERROR(VALUE(SUBSTITUTE(SUBSTITUTE(SUBSTITUTE(Table1[[#This Row],[revenue]],"EUR",""),"$",""),".",",")),"")</f>
        <v/>
      </c>
      <c r="Q352" t="s">
        <v>22</v>
      </c>
      <c r="R352" t="str">
        <f>IF(OR(Table1[[#This Row],[currency]]="EUR",Table1[[#This Row],[currency]]="€"),"EUR",IF(OR(Table1[[#This Row],[currency]]="USD",Table1[[#This Row],[currency]]="$"),"USD","Unknown"))</f>
        <v>USD</v>
      </c>
      <c r="T352" t="str">
        <f>IFERROR(_xlfn.XLOOKUP(Table1[[#This Row],[order_status]],Table8[Original],Table8[Clean],,0,1),"Unknown")</f>
        <v>Unknown</v>
      </c>
      <c r="U352">
        <v>2</v>
      </c>
      <c r="V352">
        <f>IF(ISNUMBER(Table1[[#This Row],[delivery_days]]),Table1[[#This Row],[delivery_days]],IFERROR(_xlfn.XLOOKUP(Table1[[#This Row],[delivery_days]],Table57[Original],Table57[Clean],,0,1),"Unknown"))</f>
        <v>2</v>
      </c>
      <c r="W352" t="s">
        <v>24</v>
      </c>
    </row>
    <row r="353" spans="1:23" x14ac:dyDescent="0.3">
      <c r="A353">
        <v>1351</v>
      </c>
      <c r="B353" t="str">
        <f>IF(ISBLANK(Table1[[#This Row],[order_id]]),"",IF(LEFT(Table1[[#This Row],[order_id]],3)="ORD",Table1[[#This Row],[order_id]],"ORD-" &amp; Table1[[#This Row],[order_id]]))</f>
        <v>ORD-1351</v>
      </c>
      <c r="D353" s="1" t="str">
        <f>IFERROR(DATEVALUE(Table1[[#This Row],[order_date]]),"")</f>
        <v/>
      </c>
      <c r="E353" t="s">
        <v>815</v>
      </c>
      <c r="F353" t="str">
        <f>IF(ISBLANK(Table1[[#This Row],[customer_name]]),"Unknown Customer",PROPER(SUBSTITUTE(Table1[[#This Row],[customer_name]],"Cust.","Customer")))</f>
        <v>Customer 351</v>
      </c>
      <c r="G353" t="s">
        <v>32</v>
      </c>
      <c r="H353" t="str">
        <f>IFERROR(_xlfn.XLOOKUP(Table1[[#This Row],[region]],Mappings!$C$3:$C$8,Mappings!$D$3:$D$8,,0,1),"Unknown")</f>
        <v>Europe</v>
      </c>
      <c r="I353" t="s">
        <v>50</v>
      </c>
      <c r="J353" t="str">
        <f>IFERROR(_xlfn.XLOOKUP(Table1[[#This Row],[sales_channel]],Table4[Original],Table4[Clean],,0,1),"Unknown")</f>
        <v>Mobile</v>
      </c>
      <c r="K353" t="s">
        <v>33</v>
      </c>
      <c r="L353" t="str">
        <f>IFERROR(_xlfn.XLOOKUP(Table1[[#This Row],[product]],Table3[Original],Table3[Product_clean],,0,1),"Unknown")</f>
        <v>Tablet</v>
      </c>
      <c r="M353" s="6">
        <v>1</v>
      </c>
      <c r="N353">
        <f>IF(ISNUMBER(Table1[[#This Row],[quantity]]),Table1[[#This Row],[quantity]],IFERROR(VLOOKUP(Table1[[#This Row],[quantity]],Table5[#All],2,FALSE),"Unknown"))</f>
        <v>1</v>
      </c>
      <c r="O353" t="s">
        <v>816</v>
      </c>
      <c r="P353">
        <f>IFERROR(VALUE(SUBSTITUTE(SUBSTITUTE(SUBSTITUTE(Table1[[#This Row],[revenue]],"EUR",""),"$",""),".",",")),"")</f>
        <v>708.75</v>
      </c>
      <c r="Q353" t="s">
        <v>58</v>
      </c>
      <c r="R353" t="str">
        <f>IF(OR(Table1[[#This Row],[currency]]="EUR",Table1[[#This Row],[currency]]="€"),"EUR",IF(OR(Table1[[#This Row],[currency]]="USD",Table1[[#This Row],[currency]]="$"),"USD","Unknown"))</f>
        <v>USD</v>
      </c>
      <c r="S353" t="s">
        <v>18</v>
      </c>
      <c r="T353" t="str">
        <f>IFERROR(_xlfn.XLOOKUP(Table1[[#This Row],[order_status]],Table8[Original],Table8[Clean],,0,1),"Unknown")</f>
        <v>Pending</v>
      </c>
      <c r="V353" t="str">
        <f>IF(ISNUMBER(Table1[[#This Row],[delivery_days]]),Table1[[#This Row],[delivery_days]],IFERROR(_xlfn.XLOOKUP(Table1[[#This Row],[delivery_days]],Table57[Original],Table57[Clean],,0,1),"Unknown"))</f>
        <v>Unknown</v>
      </c>
      <c r="W353" t="s">
        <v>37</v>
      </c>
    </row>
    <row r="354" spans="1:23" x14ac:dyDescent="0.3">
      <c r="A354">
        <v>1352</v>
      </c>
      <c r="B354" t="str">
        <f>IF(ISBLANK(Table1[[#This Row],[order_id]]),"",IF(LEFT(Table1[[#This Row],[order_id]],3)="ORD",Table1[[#This Row],[order_id]],"ORD-" &amp; Table1[[#This Row],[order_id]]))</f>
        <v>ORD-1352</v>
      </c>
      <c r="C354" t="s">
        <v>817</v>
      </c>
      <c r="D354" s="1">
        <f>IFERROR(DATEVALUE(Table1[[#This Row],[order_date]]),"")</f>
        <v>45679</v>
      </c>
      <c r="E354" t="s">
        <v>818</v>
      </c>
      <c r="F354" t="str">
        <f>IF(ISBLANK(Table1[[#This Row],[customer_name]]),"Unknown Customer",PROPER(SUBSTITUTE(Table1[[#This Row],[customer_name]],"Cust.","Customer")))</f>
        <v>Customer 352</v>
      </c>
      <c r="H354" t="str">
        <f>IFERROR(_xlfn.XLOOKUP(Table1[[#This Row],[region]],Mappings!$C$3:$C$8,Mappings!$D$3:$D$8,,0,1),"Unknown")</f>
        <v>Unknown</v>
      </c>
      <c r="J354" t="str">
        <f>IFERROR(_xlfn.XLOOKUP(Table1[[#This Row],[sales_channel]],Table4[Original],Table4[Clean],,0,1),"Unknown")</f>
        <v>Unknown</v>
      </c>
      <c r="K354" t="s">
        <v>41</v>
      </c>
      <c r="L354" t="str">
        <f>IFERROR(_xlfn.XLOOKUP(Table1[[#This Row],[product]],Table3[Original],Table3[Product_clean],,0,1),"Unknown")</f>
        <v>Phone</v>
      </c>
      <c r="M354" s="6">
        <v>3</v>
      </c>
      <c r="N354">
        <f>IF(ISNUMBER(Table1[[#This Row],[quantity]]),Table1[[#This Row],[quantity]],IFERROR(VLOOKUP(Table1[[#This Row],[quantity]],Table5[#All],2,FALSE),"Unknown"))</f>
        <v>3</v>
      </c>
      <c r="P354" t="str">
        <f>IFERROR(VALUE(SUBSTITUTE(SUBSTITUTE(SUBSTITUTE(Table1[[#This Row],[revenue]],"EUR",""),"$",""),".",",")),"")</f>
        <v/>
      </c>
      <c r="Q354" t="s">
        <v>17</v>
      </c>
      <c r="R354" t="str">
        <f>IF(OR(Table1[[#This Row],[currency]]="EUR",Table1[[#This Row],[currency]]="€"),"EUR",IF(OR(Table1[[#This Row],[currency]]="USD",Table1[[#This Row],[currency]]="$"),"USD","Unknown"))</f>
        <v>EUR</v>
      </c>
      <c r="S354" t="s">
        <v>23</v>
      </c>
      <c r="T354" t="str">
        <f>IFERROR(_xlfn.XLOOKUP(Table1[[#This Row],[order_status]],Table8[Original],Table8[Clean],,0,1),"Unknown")</f>
        <v>Delivered</v>
      </c>
      <c r="U354">
        <v>5</v>
      </c>
      <c r="V354">
        <f>IF(ISNUMBER(Table1[[#This Row],[delivery_days]]),Table1[[#This Row],[delivery_days]],IFERROR(_xlfn.XLOOKUP(Table1[[#This Row],[delivery_days]],Table57[Original],Table57[Clean],,0,1),"Unknown"))</f>
        <v>5</v>
      </c>
      <c r="W354" t="s">
        <v>37</v>
      </c>
    </row>
    <row r="355" spans="1:23" x14ac:dyDescent="0.3">
      <c r="A355">
        <v>1353</v>
      </c>
      <c r="B355" t="str">
        <f>IF(ISBLANK(Table1[[#This Row],[order_id]]),"",IF(LEFT(Table1[[#This Row],[order_id]],3)="ORD",Table1[[#This Row],[order_id]],"ORD-" &amp; Table1[[#This Row],[order_id]]))</f>
        <v>ORD-1353</v>
      </c>
      <c r="C355" t="s">
        <v>819</v>
      </c>
      <c r="D355" s="1">
        <f>IFERROR(DATEVALUE(Table1[[#This Row],[order_date]]),"")</f>
        <v>45324</v>
      </c>
      <c r="E355" t="s">
        <v>820</v>
      </c>
      <c r="F355" t="str">
        <f>IF(ISBLANK(Table1[[#This Row],[customer_name]]),"Unknown Customer",PROPER(SUBSTITUTE(Table1[[#This Row],[customer_name]],"Cust.","Customer")))</f>
        <v>Customer 353</v>
      </c>
      <c r="G355" t="s">
        <v>32</v>
      </c>
      <c r="H355" t="str">
        <f>IFERROR(_xlfn.XLOOKUP(Table1[[#This Row],[region]],Mappings!$C$3:$C$8,Mappings!$D$3:$D$8,,0,1),"Unknown")</f>
        <v>Europe</v>
      </c>
      <c r="I355" t="s">
        <v>78</v>
      </c>
      <c r="J355" t="str">
        <f>IFERROR(_xlfn.XLOOKUP(Table1[[#This Row],[sales_channel]],Table4[Original],Table4[Clean],,0,1),"Unknown")</f>
        <v>Mobile</v>
      </c>
      <c r="K355" t="s">
        <v>41</v>
      </c>
      <c r="L355" t="str">
        <f>IFERROR(_xlfn.XLOOKUP(Table1[[#This Row],[product]],Table3[Original],Table3[Product_clean],,0,1),"Unknown")</f>
        <v>Phone</v>
      </c>
      <c r="M355" s="6">
        <v>1</v>
      </c>
      <c r="N355">
        <f>IF(ISNUMBER(Table1[[#This Row],[quantity]]),Table1[[#This Row],[quantity]],IFERROR(VLOOKUP(Table1[[#This Row],[quantity]],Table5[#All],2,FALSE),"Unknown"))</f>
        <v>1</v>
      </c>
      <c r="O355" t="s">
        <v>821</v>
      </c>
      <c r="P355">
        <f>IFERROR(VALUE(SUBSTITUTE(SUBSTITUTE(SUBSTITUTE(Table1[[#This Row],[revenue]],"EUR",""),"$",""),".",",")),"")</f>
        <v>829.85</v>
      </c>
      <c r="Q355" t="s">
        <v>17</v>
      </c>
      <c r="R355" t="str">
        <f>IF(OR(Table1[[#This Row],[currency]]="EUR",Table1[[#This Row],[currency]]="€"),"EUR",IF(OR(Table1[[#This Row],[currency]]="USD",Table1[[#This Row],[currency]]="$"),"USD","Unknown"))</f>
        <v>EUR</v>
      </c>
      <c r="T355" t="str">
        <f>IFERROR(_xlfn.XLOOKUP(Table1[[#This Row],[order_status]],Table8[Original],Table8[Clean],,0,1),"Unknown")</f>
        <v>Unknown</v>
      </c>
      <c r="U355">
        <v>3</v>
      </c>
      <c r="V355">
        <f>IF(ISNUMBER(Table1[[#This Row],[delivery_days]]),Table1[[#This Row],[delivery_days]],IFERROR(_xlfn.XLOOKUP(Table1[[#This Row],[delivery_days]],Table57[Original],Table57[Clean],,0,1),"Unknown"))</f>
        <v>3</v>
      </c>
    </row>
    <row r="356" spans="1:23" x14ac:dyDescent="0.3">
      <c r="B356" t="str">
        <f>IF(ISBLANK(Table1[[#This Row],[order_id]]),"",IF(LEFT(Table1[[#This Row],[order_id]],3)="ORD",Table1[[#This Row],[order_id]],"ORD-" &amp; Table1[[#This Row],[order_id]]))</f>
        <v/>
      </c>
      <c r="C356" t="s">
        <v>822</v>
      </c>
      <c r="D356" s="1" t="str">
        <f>IFERROR(DATEVALUE(Table1[[#This Row],[order_date]]),"")</f>
        <v/>
      </c>
      <c r="E356" t="s">
        <v>823</v>
      </c>
      <c r="F356" t="str">
        <f>IF(ISBLANK(Table1[[#This Row],[customer_name]]),"Unknown Customer",PROPER(SUBSTITUTE(Table1[[#This Row],[customer_name]],"Cust.","Customer")))</f>
        <v>Customer 354</v>
      </c>
      <c r="G356" t="s">
        <v>32</v>
      </c>
      <c r="H356" t="str">
        <f>IFERROR(_xlfn.XLOOKUP(Table1[[#This Row],[region]],Mappings!$C$3:$C$8,Mappings!$D$3:$D$8,,0,1),"Unknown")</f>
        <v>Europe</v>
      </c>
      <c r="J356" t="str">
        <f>IFERROR(_xlfn.XLOOKUP(Table1[[#This Row],[sales_channel]],Table4[Original],Table4[Clean],,0,1),"Unknown")</f>
        <v>Unknown</v>
      </c>
      <c r="K356" t="s">
        <v>41</v>
      </c>
      <c r="L356" t="str">
        <f>IFERROR(_xlfn.XLOOKUP(Table1[[#This Row],[product]],Table3[Original],Table3[Product_clean],,0,1),"Unknown")</f>
        <v>Phone</v>
      </c>
      <c r="M356" s="6">
        <v>3</v>
      </c>
      <c r="N356">
        <f>IF(ISNUMBER(Table1[[#This Row],[quantity]]),Table1[[#This Row],[quantity]],IFERROR(VLOOKUP(Table1[[#This Row],[quantity]],Table5[#All],2,FALSE),"Unknown"))</f>
        <v>3</v>
      </c>
      <c r="O356" t="s">
        <v>824</v>
      </c>
      <c r="P356">
        <f>IFERROR(VALUE(SUBSTITUTE(SUBSTITUTE(SUBSTITUTE(Table1[[#This Row],[revenue]],"EUR",""),"$",""),".",",")),"")</f>
        <v>2906.9</v>
      </c>
      <c r="R356" t="str">
        <f>IF(OR(Table1[[#This Row],[currency]]="EUR",Table1[[#This Row],[currency]]="€"),"EUR",IF(OR(Table1[[#This Row],[currency]]="USD",Table1[[#This Row],[currency]]="$"),"USD","Unknown"))</f>
        <v>Unknown</v>
      </c>
      <c r="T356" t="str">
        <f>IFERROR(_xlfn.XLOOKUP(Table1[[#This Row],[order_status]],Table8[Original],Table8[Clean],,0,1),"Unknown")</f>
        <v>Unknown</v>
      </c>
      <c r="U356">
        <v>1</v>
      </c>
      <c r="V356">
        <f>IF(ISNUMBER(Table1[[#This Row],[delivery_days]]),Table1[[#This Row],[delivery_days]],IFERROR(_xlfn.XLOOKUP(Table1[[#This Row],[delivery_days]],Table57[Original],Table57[Clean],,0,1),"Unknown"))</f>
        <v>1</v>
      </c>
      <c r="W356" t="s">
        <v>24</v>
      </c>
    </row>
    <row r="357" spans="1:23" x14ac:dyDescent="0.3">
      <c r="B357" t="str">
        <f>IF(ISBLANK(Table1[[#This Row],[order_id]]),"",IF(LEFT(Table1[[#This Row],[order_id]],3)="ORD",Table1[[#This Row],[order_id]],"ORD-" &amp; Table1[[#This Row],[order_id]]))</f>
        <v/>
      </c>
      <c r="D357" s="1" t="str">
        <f>IFERROR(DATEVALUE(Table1[[#This Row],[order_date]]),"")</f>
        <v/>
      </c>
      <c r="E357" t="s">
        <v>825</v>
      </c>
      <c r="F357" t="str">
        <f>IF(ISBLANK(Table1[[#This Row],[customer_name]]),"Unknown Customer",PROPER(SUBSTITUTE(Table1[[#This Row],[customer_name]],"Cust.","Customer")))</f>
        <v>Customer 355</v>
      </c>
      <c r="H357" t="str">
        <f>IFERROR(_xlfn.XLOOKUP(Table1[[#This Row],[region]],Mappings!$C$3:$C$8,Mappings!$D$3:$D$8,,0,1),"Unknown")</f>
        <v>Unknown</v>
      </c>
      <c r="I357" t="s">
        <v>50</v>
      </c>
      <c r="J357" t="str">
        <f>IFERROR(_xlfn.XLOOKUP(Table1[[#This Row],[sales_channel]],Table4[Original],Table4[Clean],,0,1),"Unknown")</f>
        <v>Mobile</v>
      </c>
      <c r="K357" t="s">
        <v>41</v>
      </c>
      <c r="L357" t="str">
        <f>IFERROR(_xlfn.XLOOKUP(Table1[[#This Row],[product]],Table3[Original],Table3[Product_clean],,0,1),"Unknown")</f>
        <v>Phone</v>
      </c>
      <c r="M357" s="6" t="s">
        <v>83</v>
      </c>
      <c r="N357">
        <f>IF(ISNUMBER(Table1[[#This Row],[quantity]]),Table1[[#This Row],[quantity]],IFERROR(VLOOKUP(Table1[[#This Row],[quantity]],Table5[#All],2,FALSE),"Unknown"))</f>
        <v>2</v>
      </c>
      <c r="O357" t="s">
        <v>826</v>
      </c>
      <c r="P357">
        <f>IFERROR(VALUE(SUBSTITUTE(SUBSTITUTE(SUBSTITUTE(Table1[[#This Row],[revenue]],"EUR",""),"$",""),".",",")),"")</f>
        <v>2919.39</v>
      </c>
      <c r="R357" t="str">
        <f>IF(OR(Table1[[#This Row],[currency]]="EUR",Table1[[#This Row],[currency]]="€"),"EUR",IF(OR(Table1[[#This Row],[currency]]="USD",Table1[[#This Row],[currency]]="$"),"USD","Unknown"))</f>
        <v>Unknown</v>
      </c>
      <c r="S357" t="s">
        <v>30</v>
      </c>
      <c r="T357" t="str">
        <f>IFERROR(_xlfn.XLOOKUP(Table1[[#This Row],[order_status]],Table8[Original],Table8[Clean],,0,1),"Unknown")</f>
        <v>Delivered</v>
      </c>
      <c r="U357" t="s">
        <v>36</v>
      </c>
      <c r="V357">
        <f>IF(ISNUMBER(Table1[[#This Row],[delivery_days]]),Table1[[#This Row],[delivery_days]],IFERROR(_xlfn.XLOOKUP(Table1[[#This Row],[delivery_days]],Table57[Original],Table57[Clean],,0,1),"Unknown"))</f>
        <v>5</v>
      </c>
      <c r="W357" t="s">
        <v>37</v>
      </c>
    </row>
    <row r="358" spans="1:23" x14ac:dyDescent="0.3">
      <c r="B358" t="str">
        <f>IF(ISBLANK(Table1[[#This Row],[order_id]]),"",IF(LEFT(Table1[[#This Row],[order_id]],3)="ORD",Table1[[#This Row],[order_id]],"ORD-" &amp; Table1[[#This Row],[order_id]]))</f>
        <v/>
      </c>
      <c r="C358" t="s">
        <v>827</v>
      </c>
      <c r="D358" s="1" t="str">
        <f>IFERROR(DATEVALUE(Table1[[#This Row],[order_date]]),"")</f>
        <v/>
      </c>
      <c r="E358" t="s">
        <v>828</v>
      </c>
      <c r="F358" t="str">
        <f>IF(ISBLANK(Table1[[#This Row],[customer_name]]),"Unknown Customer",PROPER(SUBSTITUTE(Table1[[#This Row],[customer_name]],"Cust.","Customer")))</f>
        <v>Customer 356</v>
      </c>
      <c r="G358" t="s">
        <v>54</v>
      </c>
      <c r="H358" t="str">
        <f>IFERROR(_xlfn.XLOOKUP(Table1[[#This Row],[region]],Mappings!$C$3:$C$8,Mappings!$D$3:$D$8,,0,1),"Unknown")</f>
        <v>USA</v>
      </c>
      <c r="I358" t="s">
        <v>27</v>
      </c>
      <c r="J358" t="str">
        <f>IFERROR(_xlfn.XLOOKUP(Table1[[#This Row],[sales_channel]],Table4[Original],Table4[Clean],,0,1),"Unknown")</f>
        <v>Online</v>
      </c>
      <c r="K358" t="s">
        <v>28</v>
      </c>
      <c r="L358" t="str">
        <f>IFERROR(_xlfn.XLOOKUP(Table1[[#This Row],[product]],Table3[Original],Table3[Product_clean],,0,1),"Unknown")</f>
        <v>Laptop</v>
      </c>
      <c r="M358" s="6">
        <v>3</v>
      </c>
      <c r="N358">
        <f>IF(ISNUMBER(Table1[[#This Row],[quantity]]),Table1[[#This Row],[quantity]],IFERROR(VLOOKUP(Table1[[#This Row],[quantity]],Table5[#All],2,FALSE),"Unknown"))</f>
        <v>3</v>
      </c>
      <c r="O358">
        <v>538.54</v>
      </c>
      <c r="P358">
        <f>IFERROR(VALUE(SUBSTITUTE(SUBSTITUTE(SUBSTITUTE(Table1[[#This Row],[revenue]],"EUR",""),"$",""),".",",")),"")</f>
        <v>538.54</v>
      </c>
      <c r="R358" t="str">
        <f>IF(OR(Table1[[#This Row],[currency]]="EUR",Table1[[#This Row],[currency]]="€"),"EUR",IF(OR(Table1[[#This Row],[currency]]="USD",Table1[[#This Row],[currency]]="$"),"USD","Unknown"))</f>
        <v>Unknown</v>
      </c>
      <c r="T358" t="str">
        <f>IFERROR(_xlfn.XLOOKUP(Table1[[#This Row],[order_status]],Table8[Original],Table8[Clean],,0,1),"Unknown")</f>
        <v>Unknown</v>
      </c>
      <c r="U358">
        <v>1</v>
      </c>
      <c r="V358">
        <f>IF(ISNUMBER(Table1[[#This Row],[delivery_days]]),Table1[[#This Row],[delivery_days]],IFERROR(_xlfn.XLOOKUP(Table1[[#This Row],[delivery_days]],Table57[Original],Table57[Clean],,0,1),"Unknown"))</f>
        <v>1</v>
      </c>
      <c r="W358" t="s">
        <v>37</v>
      </c>
    </row>
    <row r="359" spans="1:23" x14ac:dyDescent="0.3">
      <c r="A359" t="s">
        <v>829</v>
      </c>
      <c r="B359" t="str">
        <f>IF(ISBLANK(Table1[[#This Row],[order_id]]),"",IF(LEFT(Table1[[#This Row],[order_id]],3)="ORD",Table1[[#This Row],[order_id]],"ORD-" &amp; Table1[[#This Row],[order_id]]))</f>
        <v>ORD-1357</v>
      </c>
      <c r="D359" s="1" t="str">
        <f>IFERROR(DATEVALUE(Table1[[#This Row],[order_date]]),"")</f>
        <v/>
      </c>
      <c r="F359" t="str">
        <f>IF(ISBLANK(Table1[[#This Row],[customer_name]]),"Unknown Customer",PROPER(SUBSTITUTE(Table1[[#This Row],[customer_name]],"Cust.","Customer")))</f>
        <v>Unknown Customer</v>
      </c>
      <c r="G359" t="s">
        <v>54</v>
      </c>
      <c r="H359" t="str">
        <f>IFERROR(_xlfn.XLOOKUP(Table1[[#This Row],[region]],Mappings!$C$3:$C$8,Mappings!$D$3:$D$8,,0,1),"Unknown")</f>
        <v>USA</v>
      </c>
      <c r="I359" t="s">
        <v>68</v>
      </c>
      <c r="J359" t="str">
        <f>IFERROR(_xlfn.XLOOKUP(Table1[[#This Row],[sales_channel]],Table4[Original],Table4[Clean],,0,1),"Unknown")</f>
        <v>Online</v>
      </c>
      <c r="K359" t="s">
        <v>28</v>
      </c>
      <c r="L359" t="str">
        <f>IFERROR(_xlfn.XLOOKUP(Table1[[#This Row],[product]],Table3[Original],Table3[Product_clean],,0,1),"Unknown")</f>
        <v>Laptop</v>
      </c>
      <c r="M359" s="6" t="s">
        <v>83</v>
      </c>
      <c r="N359">
        <f>IF(ISNUMBER(Table1[[#This Row],[quantity]]),Table1[[#This Row],[quantity]],IFERROR(VLOOKUP(Table1[[#This Row],[quantity]],Table5[#All],2,FALSE),"Unknown"))</f>
        <v>2</v>
      </c>
      <c r="O359">
        <v>2442.96</v>
      </c>
      <c r="P359">
        <f>IFERROR(VALUE(SUBSTITUTE(SUBSTITUTE(SUBSTITUTE(Table1[[#This Row],[revenue]],"EUR",""),"$",""),".",",")),"")</f>
        <v>2442.96</v>
      </c>
      <c r="Q359" t="s">
        <v>17</v>
      </c>
      <c r="R359" t="str">
        <f>IF(OR(Table1[[#This Row],[currency]]="EUR",Table1[[#This Row],[currency]]="€"),"EUR",IF(OR(Table1[[#This Row],[currency]]="USD",Table1[[#This Row],[currency]]="$"),"USD","Unknown"))</f>
        <v>EUR</v>
      </c>
      <c r="S359" t="s">
        <v>23</v>
      </c>
      <c r="T359" t="str">
        <f>IFERROR(_xlfn.XLOOKUP(Table1[[#This Row],[order_status]],Table8[Original],Table8[Clean],,0,1),"Unknown")</f>
        <v>Delivered</v>
      </c>
      <c r="U359">
        <v>1</v>
      </c>
      <c r="V359">
        <f>IF(ISNUMBER(Table1[[#This Row],[delivery_days]]),Table1[[#This Row],[delivery_days]],IFERROR(_xlfn.XLOOKUP(Table1[[#This Row],[delivery_days]],Table57[Original],Table57[Clean],,0,1),"Unknown"))</f>
        <v>1</v>
      </c>
      <c r="W359" t="s">
        <v>37</v>
      </c>
    </row>
    <row r="360" spans="1:23" x14ac:dyDescent="0.3">
      <c r="B360" t="str">
        <f>IF(ISBLANK(Table1[[#This Row],[order_id]]),"",IF(LEFT(Table1[[#This Row],[order_id]],3)="ORD",Table1[[#This Row],[order_id]],"ORD-" &amp; Table1[[#This Row],[order_id]]))</f>
        <v/>
      </c>
      <c r="C360" t="s">
        <v>667</v>
      </c>
      <c r="D360" s="1">
        <f>IFERROR(DATEVALUE(Table1[[#This Row],[order_date]]),"")</f>
        <v>45585</v>
      </c>
      <c r="E360" t="s">
        <v>830</v>
      </c>
      <c r="F360" t="str">
        <f>IF(ISBLANK(Table1[[#This Row],[customer_name]]),"Unknown Customer",PROPER(SUBSTITUTE(Table1[[#This Row],[customer_name]],"Cust.","Customer")))</f>
        <v>Customer 358</v>
      </c>
      <c r="G360" t="s">
        <v>73</v>
      </c>
      <c r="H360" t="str">
        <f>IFERROR(_xlfn.XLOOKUP(Table1[[#This Row],[region]],Mappings!$C$3:$C$8,Mappings!$D$3:$D$8,,0,1),"Unknown")</f>
        <v>Europe</v>
      </c>
      <c r="I360" t="s">
        <v>27</v>
      </c>
      <c r="J360" t="str">
        <f>IFERROR(_xlfn.XLOOKUP(Table1[[#This Row],[sales_channel]],Table4[Original],Table4[Clean],,0,1),"Unknown")</f>
        <v>Online</v>
      </c>
      <c r="K360" t="s">
        <v>102</v>
      </c>
      <c r="L360" t="str">
        <f>IFERROR(_xlfn.XLOOKUP(Table1[[#This Row],[product]],Table3[Original],Table3[Product_clean],,0,1),"Unknown")</f>
        <v>Phone</v>
      </c>
      <c r="M360" s="6">
        <v>2</v>
      </c>
      <c r="N360">
        <f>IF(ISNUMBER(Table1[[#This Row],[quantity]]),Table1[[#This Row],[quantity]],IFERROR(VLOOKUP(Table1[[#This Row],[quantity]],Table5[#All],2,FALSE),"Unknown"))</f>
        <v>2</v>
      </c>
      <c r="O360" t="s">
        <v>831</v>
      </c>
      <c r="P360">
        <f>IFERROR(VALUE(SUBSTITUTE(SUBSTITUTE(SUBSTITUTE(Table1[[#This Row],[revenue]],"EUR",""),"$",""),".",",")),"")</f>
        <v>1797.43</v>
      </c>
      <c r="R360" t="str">
        <f>IF(OR(Table1[[#This Row],[currency]]="EUR",Table1[[#This Row],[currency]]="€"),"EUR",IF(OR(Table1[[#This Row],[currency]]="USD",Table1[[#This Row],[currency]]="$"),"USD","Unknown"))</f>
        <v>Unknown</v>
      </c>
      <c r="S360" t="s">
        <v>47</v>
      </c>
      <c r="T360" t="str">
        <f>IFERROR(_xlfn.XLOOKUP(Table1[[#This Row],[order_status]],Table8[Original],Table8[Clean],,0,1),"Unknown")</f>
        <v>Returned</v>
      </c>
      <c r="U360" t="s">
        <v>36</v>
      </c>
      <c r="V360">
        <f>IF(ISNUMBER(Table1[[#This Row],[delivery_days]]),Table1[[#This Row],[delivery_days]],IFERROR(_xlfn.XLOOKUP(Table1[[#This Row],[delivery_days]],Table57[Original],Table57[Clean],,0,1),"Unknown"))</f>
        <v>5</v>
      </c>
    </row>
    <row r="361" spans="1:23" x14ac:dyDescent="0.3">
      <c r="A361">
        <v>1359</v>
      </c>
      <c r="B361" t="str">
        <f>IF(ISBLANK(Table1[[#This Row],[order_id]]),"",IF(LEFT(Table1[[#This Row],[order_id]],3)="ORD",Table1[[#This Row],[order_id]],"ORD-" &amp; Table1[[#This Row],[order_id]]))</f>
        <v>ORD-1359</v>
      </c>
      <c r="C361" t="s">
        <v>832</v>
      </c>
      <c r="D361" s="1">
        <f>IFERROR(DATEVALUE(Table1[[#This Row],[order_date]]),"")</f>
        <v>45660</v>
      </c>
      <c r="F361" t="str">
        <f>IF(ISBLANK(Table1[[#This Row],[customer_name]]),"Unknown Customer",PROPER(SUBSTITUTE(Table1[[#This Row],[customer_name]],"Cust.","Customer")))</f>
        <v>Unknown Customer</v>
      </c>
      <c r="G361" t="s">
        <v>45</v>
      </c>
      <c r="H361" t="str">
        <f>IFERROR(_xlfn.XLOOKUP(Table1[[#This Row],[region]],Mappings!$C$3:$C$8,Mappings!$D$3:$D$8,,0,1),"Unknown")</f>
        <v>USA</v>
      </c>
      <c r="I361" t="s">
        <v>78</v>
      </c>
      <c r="J361" t="str">
        <f>IFERROR(_xlfn.XLOOKUP(Table1[[#This Row],[sales_channel]],Table4[Original],Table4[Clean],,0,1),"Unknown")</f>
        <v>Mobile</v>
      </c>
      <c r="L361" t="str">
        <f>IFERROR(_xlfn.XLOOKUP(Table1[[#This Row],[product]],Table3[Original],Table3[Product_clean],,0,1),"Unknown")</f>
        <v>Unknown</v>
      </c>
      <c r="M361" s="6" t="s">
        <v>83</v>
      </c>
      <c r="N361">
        <f>IF(ISNUMBER(Table1[[#This Row],[quantity]]),Table1[[#This Row],[quantity]],IFERROR(VLOOKUP(Table1[[#This Row],[quantity]],Table5[#All],2,FALSE),"Unknown"))</f>
        <v>2</v>
      </c>
      <c r="O361" t="s">
        <v>833</v>
      </c>
      <c r="P361">
        <f>IFERROR(VALUE(SUBSTITUTE(SUBSTITUTE(SUBSTITUTE(Table1[[#This Row],[revenue]],"EUR",""),"$",""),".",",")),"")</f>
        <v>2197.52</v>
      </c>
      <c r="Q361" t="s">
        <v>58</v>
      </c>
      <c r="R361" t="str">
        <f>IF(OR(Table1[[#This Row],[currency]]="EUR",Table1[[#This Row],[currency]]="€"),"EUR",IF(OR(Table1[[#This Row],[currency]]="USD",Table1[[#This Row],[currency]]="$"),"USD","Unknown"))</f>
        <v>USD</v>
      </c>
      <c r="S361" t="s">
        <v>23</v>
      </c>
      <c r="T361" t="str">
        <f>IFERROR(_xlfn.XLOOKUP(Table1[[#This Row],[order_status]],Table8[Original],Table8[Clean],,0,1),"Unknown")</f>
        <v>Delivered</v>
      </c>
      <c r="U361">
        <v>5</v>
      </c>
      <c r="V361">
        <f>IF(ISNUMBER(Table1[[#This Row],[delivery_days]]),Table1[[#This Row],[delivery_days]],IFERROR(_xlfn.XLOOKUP(Table1[[#This Row],[delivery_days]],Table57[Original],Table57[Clean],,0,1),"Unknown"))</f>
        <v>5</v>
      </c>
      <c r="W361" t="s">
        <v>37</v>
      </c>
    </row>
    <row r="362" spans="1:23" x14ac:dyDescent="0.3">
      <c r="B362" t="str">
        <f>IF(ISBLANK(Table1[[#This Row],[order_id]]),"",IF(LEFT(Table1[[#This Row],[order_id]],3)="ORD",Table1[[#This Row],[order_id]],"ORD-" &amp; Table1[[#This Row],[order_id]]))</f>
        <v/>
      </c>
      <c r="C362" t="s">
        <v>834</v>
      </c>
      <c r="D362" s="1">
        <f>IFERROR(DATEVALUE(Table1[[#This Row],[order_date]]),"")</f>
        <v>45932</v>
      </c>
      <c r="E362" t="s">
        <v>835</v>
      </c>
      <c r="F362" t="str">
        <f>IF(ISBLANK(Table1[[#This Row],[customer_name]]),"Unknown Customer",PROPER(SUBSTITUTE(Table1[[#This Row],[customer_name]],"Cust.","Customer")))</f>
        <v>Customer 360</v>
      </c>
      <c r="H362" t="str">
        <f>IFERROR(_xlfn.XLOOKUP(Table1[[#This Row],[region]],Mappings!$C$3:$C$8,Mappings!$D$3:$D$8,,0,1),"Unknown")</f>
        <v>Unknown</v>
      </c>
      <c r="J362" t="str">
        <f>IFERROR(_xlfn.XLOOKUP(Table1[[#This Row],[sales_channel]],Table4[Original],Table4[Clean],,0,1),"Unknown")</f>
        <v>Unknown</v>
      </c>
      <c r="K362" t="s">
        <v>102</v>
      </c>
      <c r="L362" t="str">
        <f>IFERROR(_xlfn.XLOOKUP(Table1[[#This Row],[product]],Table3[Original],Table3[Product_clean],,0,1),"Unknown")</f>
        <v>Phone</v>
      </c>
      <c r="M362" s="6" t="s">
        <v>83</v>
      </c>
      <c r="N362">
        <f>IF(ISNUMBER(Table1[[#This Row],[quantity]]),Table1[[#This Row],[quantity]],IFERROR(VLOOKUP(Table1[[#This Row],[quantity]],Table5[#All],2,FALSE),"Unknown"))</f>
        <v>2</v>
      </c>
      <c r="O362" t="s">
        <v>836</v>
      </c>
      <c r="P362">
        <f>IFERROR(VALUE(SUBSTITUTE(SUBSTITUTE(SUBSTITUTE(Table1[[#This Row],[revenue]],"EUR",""),"$",""),".",",")),"")</f>
        <v>1768.81</v>
      </c>
      <c r="R362" t="str">
        <f>IF(OR(Table1[[#This Row],[currency]]="EUR",Table1[[#This Row],[currency]]="€"),"EUR",IF(OR(Table1[[#This Row],[currency]]="USD",Table1[[#This Row],[currency]]="$"),"USD","Unknown"))</f>
        <v>Unknown</v>
      </c>
      <c r="S362" t="s">
        <v>18</v>
      </c>
      <c r="T362" t="str">
        <f>IFERROR(_xlfn.XLOOKUP(Table1[[#This Row],[order_status]],Table8[Original],Table8[Clean],,0,1),"Unknown")</f>
        <v>Pending</v>
      </c>
      <c r="U362">
        <v>1</v>
      </c>
      <c r="V362">
        <f>IF(ISNUMBER(Table1[[#This Row],[delivery_days]]),Table1[[#This Row],[delivery_days]],IFERROR(_xlfn.XLOOKUP(Table1[[#This Row],[delivery_days]],Table57[Original],Table57[Clean],,0,1),"Unknown"))</f>
        <v>1</v>
      </c>
      <c r="W362" t="s">
        <v>37</v>
      </c>
    </row>
    <row r="363" spans="1:23" x14ac:dyDescent="0.3">
      <c r="A363">
        <v>1361</v>
      </c>
      <c r="B363" t="str">
        <f>IF(ISBLANK(Table1[[#This Row],[order_id]]),"",IF(LEFT(Table1[[#This Row],[order_id]],3)="ORD",Table1[[#This Row],[order_id]],"ORD-" &amp; Table1[[#This Row],[order_id]]))</f>
        <v>ORD-1361</v>
      </c>
      <c r="C363" t="s">
        <v>837</v>
      </c>
      <c r="D363" s="1">
        <f>IFERROR(DATEVALUE(Table1[[#This Row],[order_date]]),"")</f>
        <v>45485</v>
      </c>
      <c r="F363" t="str">
        <f>IF(ISBLANK(Table1[[#This Row],[customer_name]]),"Unknown Customer",PROPER(SUBSTITUTE(Table1[[#This Row],[customer_name]],"Cust.","Customer")))</f>
        <v>Unknown Customer</v>
      </c>
      <c r="H363" t="str">
        <f>IFERROR(_xlfn.XLOOKUP(Table1[[#This Row],[region]],Mappings!$C$3:$C$8,Mappings!$D$3:$D$8,,0,1),"Unknown")</f>
        <v>Unknown</v>
      </c>
      <c r="I363" t="s">
        <v>27</v>
      </c>
      <c r="J363" t="str">
        <f>IFERROR(_xlfn.XLOOKUP(Table1[[#This Row],[sales_channel]],Table4[Original],Table4[Clean],,0,1),"Unknown")</f>
        <v>Online</v>
      </c>
      <c r="K363" t="s">
        <v>33</v>
      </c>
      <c r="L363" t="str">
        <f>IFERROR(_xlfn.XLOOKUP(Table1[[#This Row],[product]],Table3[Original],Table3[Product_clean],,0,1),"Unknown")</f>
        <v>Tablet</v>
      </c>
      <c r="M363" s="6">
        <v>1</v>
      </c>
      <c r="N363">
        <f>IF(ISNUMBER(Table1[[#This Row],[quantity]]),Table1[[#This Row],[quantity]],IFERROR(VLOOKUP(Table1[[#This Row],[quantity]],Table5[#All],2,FALSE),"Unknown"))</f>
        <v>1</v>
      </c>
      <c r="O363">
        <v>1187.1099999999999</v>
      </c>
      <c r="P363">
        <f>IFERROR(VALUE(SUBSTITUTE(SUBSTITUTE(SUBSTITUTE(Table1[[#This Row],[revenue]],"EUR",""),"$",""),".",",")),"")</f>
        <v>1187.1099999999999</v>
      </c>
      <c r="Q363" t="s">
        <v>58</v>
      </c>
      <c r="R363" t="str">
        <f>IF(OR(Table1[[#This Row],[currency]]="EUR",Table1[[#This Row],[currency]]="€"),"EUR",IF(OR(Table1[[#This Row],[currency]]="USD",Table1[[#This Row],[currency]]="$"),"USD","Unknown"))</f>
        <v>USD</v>
      </c>
      <c r="S363" t="s">
        <v>47</v>
      </c>
      <c r="T363" t="str">
        <f>IFERROR(_xlfn.XLOOKUP(Table1[[#This Row],[order_status]],Table8[Original],Table8[Clean],,0,1),"Unknown")</f>
        <v>Returned</v>
      </c>
      <c r="U363" t="s">
        <v>36</v>
      </c>
      <c r="V363">
        <f>IF(ISNUMBER(Table1[[#This Row],[delivery_days]]),Table1[[#This Row],[delivery_days]],IFERROR(_xlfn.XLOOKUP(Table1[[#This Row],[delivery_days]],Table57[Original],Table57[Clean],,0,1),"Unknown"))</f>
        <v>5</v>
      </c>
    </row>
    <row r="364" spans="1:23" x14ac:dyDescent="0.3">
      <c r="A364">
        <v>1362</v>
      </c>
      <c r="B364" t="str">
        <f>IF(ISBLANK(Table1[[#This Row],[order_id]]),"",IF(LEFT(Table1[[#This Row],[order_id]],3)="ORD",Table1[[#This Row],[order_id]],"ORD-" &amp; Table1[[#This Row],[order_id]]))</f>
        <v>ORD-1362</v>
      </c>
      <c r="D364" s="1" t="str">
        <f>IFERROR(DATEVALUE(Table1[[#This Row],[order_date]]),"")</f>
        <v/>
      </c>
      <c r="E364" t="s">
        <v>838</v>
      </c>
      <c r="F364" t="str">
        <f>IF(ISBLANK(Table1[[#This Row],[customer_name]]),"Unknown Customer",PROPER(SUBSTITUTE(Table1[[#This Row],[customer_name]],"Cust.","Customer")))</f>
        <v>Customer 362</v>
      </c>
      <c r="G364" t="s">
        <v>45</v>
      </c>
      <c r="H364" t="str">
        <f>IFERROR(_xlfn.XLOOKUP(Table1[[#This Row],[region]],Mappings!$C$3:$C$8,Mappings!$D$3:$D$8,,0,1),"Unknown")</f>
        <v>USA</v>
      </c>
      <c r="I364" t="s">
        <v>68</v>
      </c>
      <c r="J364" t="str">
        <f>IFERROR(_xlfn.XLOOKUP(Table1[[#This Row],[sales_channel]],Table4[Original],Table4[Clean],,0,1),"Unknown")</f>
        <v>Online</v>
      </c>
      <c r="L364" t="str">
        <f>IFERROR(_xlfn.XLOOKUP(Table1[[#This Row],[product]],Table3[Original],Table3[Product_clean],,0,1),"Unknown")</f>
        <v>Unknown</v>
      </c>
      <c r="M364" s="6">
        <v>1</v>
      </c>
      <c r="N364">
        <f>IF(ISNUMBER(Table1[[#This Row],[quantity]]),Table1[[#This Row],[quantity]],IFERROR(VLOOKUP(Table1[[#This Row],[quantity]],Table5[#All],2,FALSE),"Unknown"))</f>
        <v>1</v>
      </c>
      <c r="O364">
        <v>1617.72</v>
      </c>
      <c r="P364">
        <f>IFERROR(VALUE(SUBSTITUTE(SUBSTITUTE(SUBSTITUTE(Table1[[#This Row],[revenue]],"EUR",""),"$",""),".",",")),"")</f>
        <v>1617.72</v>
      </c>
      <c r="Q364" t="s">
        <v>22</v>
      </c>
      <c r="R364" t="str">
        <f>IF(OR(Table1[[#This Row],[currency]]="EUR",Table1[[#This Row],[currency]]="€"),"EUR",IF(OR(Table1[[#This Row],[currency]]="USD",Table1[[#This Row],[currency]]="$"),"USD","Unknown"))</f>
        <v>USD</v>
      </c>
      <c r="S364" t="s">
        <v>18</v>
      </c>
      <c r="T364" t="str">
        <f>IFERROR(_xlfn.XLOOKUP(Table1[[#This Row],[order_status]],Table8[Original],Table8[Clean],,0,1),"Unknown")</f>
        <v>Pending</v>
      </c>
      <c r="U364">
        <v>5</v>
      </c>
      <c r="V364">
        <f>IF(ISNUMBER(Table1[[#This Row],[delivery_days]]),Table1[[#This Row],[delivery_days]],IFERROR(_xlfn.XLOOKUP(Table1[[#This Row],[delivery_days]],Table57[Original],Table57[Clean],,0,1),"Unknown"))</f>
        <v>5</v>
      </c>
      <c r="W364" t="s">
        <v>24</v>
      </c>
    </row>
    <row r="365" spans="1:23" x14ac:dyDescent="0.3">
      <c r="A365">
        <v>1363</v>
      </c>
      <c r="B365" t="str">
        <f>IF(ISBLANK(Table1[[#This Row],[order_id]]),"",IF(LEFT(Table1[[#This Row],[order_id]],3)="ORD",Table1[[#This Row],[order_id]],"ORD-" &amp; Table1[[#This Row],[order_id]]))</f>
        <v>ORD-1363</v>
      </c>
      <c r="D365" s="1" t="str">
        <f>IFERROR(DATEVALUE(Table1[[#This Row],[order_date]]),"")</f>
        <v/>
      </c>
      <c r="F365" t="str">
        <f>IF(ISBLANK(Table1[[#This Row],[customer_name]]),"Unknown Customer",PROPER(SUBSTITUTE(Table1[[#This Row],[customer_name]],"Cust.","Customer")))</f>
        <v>Unknown Customer</v>
      </c>
      <c r="G365" t="s">
        <v>26</v>
      </c>
      <c r="H365" t="str">
        <f>IFERROR(_xlfn.XLOOKUP(Table1[[#This Row],[region]],Mappings!$C$3:$C$8,Mappings!$D$3:$D$8,,0,1),"Unknown")</f>
        <v>Asia</v>
      </c>
      <c r="I365" t="s">
        <v>68</v>
      </c>
      <c r="J365" t="str">
        <f>IFERROR(_xlfn.XLOOKUP(Table1[[#This Row],[sales_channel]],Table4[Original],Table4[Clean],,0,1),"Unknown")</f>
        <v>Online</v>
      </c>
      <c r="L365" t="str">
        <f>IFERROR(_xlfn.XLOOKUP(Table1[[#This Row],[product]],Table3[Original],Table3[Product_clean],,0,1),"Unknown")</f>
        <v>Unknown</v>
      </c>
      <c r="M365" s="6"/>
      <c r="N365" t="str">
        <f>IF(ISNUMBER(Table1[[#This Row],[quantity]]),Table1[[#This Row],[quantity]],IFERROR(VLOOKUP(Table1[[#This Row],[quantity]],Table5[#All],2,FALSE),"Unknown"))</f>
        <v>Unknown</v>
      </c>
      <c r="P365" t="str">
        <f>IFERROR(VALUE(SUBSTITUTE(SUBSTITUTE(SUBSTITUTE(Table1[[#This Row],[revenue]],"EUR",""),"$",""),".",",")),"")</f>
        <v/>
      </c>
      <c r="Q365" t="s">
        <v>17</v>
      </c>
      <c r="R365" t="str">
        <f>IF(OR(Table1[[#This Row],[currency]]="EUR",Table1[[#This Row],[currency]]="€"),"EUR",IF(OR(Table1[[#This Row],[currency]]="USD",Table1[[#This Row],[currency]]="$"),"USD","Unknown"))</f>
        <v>EUR</v>
      </c>
      <c r="S365" t="s">
        <v>47</v>
      </c>
      <c r="T365" t="str">
        <f>IFERROR(_xlfn.XLOOKUP(Table1[[#This Row],[order_status]],Table8[Original],Table8[Clean],,0,1),"Unknown")</f>
        <v>Returned</v>
      </c>
      <c r="U365">
        <v>2</v>
      </c>
      <c r="V365">
        <f>IF(ISNUMBER(Table1[[#This Row],[delivery_days]]),Table1[[#This Row],[delivery_days]],IFERROR(_xlfn.XLOOKUP(Table1[[#This Row],[delivery_days]],Table57[Original],Table57[Clean],,0,1),"Unknown"))</f>
        <v>2</v>
      </c>
      <c r="W365" t="s">
        <v>24</v>
      </c>
    </row>
    <row r="366" spans="1:23" x14ac:dyDescent="0.3">
      <c r="A366" t="s">
        <v>839</v>
      </c>
      <c r="B366" t="str">
        <f>IF(ISBLANK(Table1[[#This Row],[order_id]]),"",IF(LEFT(Table1[[#This Row],[order_id]],3)="ORD",Table1[[#This Row],[order_id]],"ORD-" &amp; Table1[[#This Row],[order_id]]))</f>
        <v>ORD-1364</v>
      </c>
      <c r="D366" s="1" t="str">
        <f>IFERROR(DATEVALUE(Table1[[#This Row],[order_date]]),"")</f>
        <v/>
      </c>
      <c r="E366" t="s">
        <v>840</v>
      </c>
      <c r="F366" t="str">
        <f>IF(ISBLANK(Table1[[#This Row],[customer_name]]),"Unknown Customer",PROPER(SUBSTITUTE(Table1[[#This Row],[customer_name]],"Cust.","Customer")))</f>
        <v>Customer 364</v>
      </c>
      <c r="G366" t="s">
        <v>54</v>
      </c>
      <c r="H366" t="str">
        <f>IFERROR(_xlfn.XLOOKUP(Table1[[#This Row],[region]],Mappings!$C$3:$C$8,Mappings!$D$3:$D$8,,0,1),"Unknown")</f>
        <v>USA</v>
      </c>
      <c r="I366" t="s">
        <v>14</v>
      </c>
      <c r="J366" t="str">
        <f>IFERROR(_xlfn.XLOOKUP(Table1[[#This Row],[sales_channel]],Table4[Original],Table4[Clean],,0,1),"Unknown")</f>
        <v>Online</v>
      </c>
      <c r="K366" t="s">
        <v>15</v>
      </c>
      <c r="L366" t="str">
        <f>IFERROR(_xlfn.XLOOKUP(Table1[[#This Row],[product]],Table3[Original],Table3[Product_clean],,0,1),"Unknown")</f>
        <v>Tablet</v>
      </c>
      <c r="M366" s="6">
        <v>1</v>
      </c>
      <c r="N366">
        <f>IF(ISNUMBER(Table1[[#This Row],[quantity]]),Table1[[#This Row],[quantity]],IFERROR(VLOOKUP(Table1[[#This Row],[quantity]],Table5[#All],2,FALSE),"Unknown"))</f>
        <v>1</v>
      </c>
      <c r="O366">
        <v>2309.2800000000002</v>
      </c>
      <c r="P366">
        <f>IFERROR(VALUE(SUBSTITUTE(SUBSTITUTE(SUBSTITUTE(Table1[[#This Row],[revenue]],"EUR",""),"$",""),".",",")),"")</f>
        <v>2309.2800000000002</v>
      </c>
      <c r="R366" t="str">
        <f>IF(OR(Table1[[#This Row],[currency]]="EUR",Table1[[#This Row],[currency]]="€"),"EUR",IF(OR(Table1[[#This Row],[currency]]="USD",Table1[[#This Row],[currency]]="$"),"USD","Unknown"))</f>
        <v>Unknown</v>
      </c>
      <c r="S366" t="s">
        <v>18</v>
      </c>
      <c r="T366" t="str">
        <f>IFERROR(_xlfn.XLOOKUP(Table1[[#This Row],[order_status]],Table8[Original],Table8[Clean],,0,1),"Unknown")</f>
        <v>Pending</v>
      </c>
      <c r="U366">
        <v>1</v>
      </c>
      <c r="V366">
        <f>IF(ISNUMBER(Table1[[#This Row],[delivery_days]]),Table1[[#This Row],[delivery_days]],IFERROR(_xlfn.XLOOKUP(Table1[[#This Row],[delivery_days]],Table57[Original],Table57[Clean],,0,1),"Unknown"))</f>
        <v>1</v>
      </c>
    </row>
    <row r="367" spans="1:23" x14ac:dyDescent="0.3">
      <c r="A367" t="s">
        <v>841</v>
      </c>
      <c r="B367" t="str">
        <f>IF(ISBLANK(Table1[[#This Row],[order_id]]),"",IF(LEFT(Table1[[#This Row],[order_id]],3)="ORD",Table1[[#This Row],[order_id]],"ORD-" &amp; Table1[[#This Row],[order_id]]))</f>
        <v>ORD-1365</v>
      </c>
      <c r="C367" t="s">
        <v>842</v>
      </c>
      <c r="D367" s="1">
        <f>IFERROR(DATEVALUE(Table1[[#This Row],[order_date]]),"")</f>
        <v>45603</v>
      </c>
      <c r="E367" t="s">
        <v>843</v>
      </c>
      <c r="F367" t="str">
        <f>IF(ISBLANK(Table1[[#This Row],[customer_name]]),"Unknown Customer",PROPER(SUBSTITUTE(Table1[[#This Row],[customer_name]],"Cust.","Customer")))</f>
        <v>Customer 365</v>
      </c>
      <c r="G367" t="s">
        <v>54</v>
      </c>
      <c r="H367" t="str">
        <f>IFERROR(_xlfn.XLOOKUP(Table1[[#This Row],[region]],Mappings!$C$3:$C$8,Mappings!$D$3:$D$8,,0,1),"Unknown")</f>
        <v>USA</v>
      </c>
      <c r="I367" t="s">
        <v>78</v>
      </c>
      <c r="J367" t="str">
        <f>IFERROR(_xlfn.XLOOKUP(Table1[[#This Row],[sales_channel]],Table4[Original],Table4[Clean],,0,1),"Unknown")</f>
        <v>Mobile</v>
      </c>
      <c r="K367" t="s">
        <v>15</v>
      </c>
      <c r="L367" t="str">
        <f>IFERROR(_xlfn.XLOOKUP(Table1[[#This Row],[product]],Table3[Original],Table3[Product_clean],,0,1),"Unknown")</f>
        <v>Tablet</v>
      </c>
      <c r="M367" s="6"/>
      <c r="N367" t="str">
        <f>IF(ISNUMBER(Table1[[#This Row],[quantity]]),Table1[[#This Row],[quantity]],IFERROR(VLOOKUP(Table1[[#This Row],[quantity]],Table5[#All],2,FALSE),"Unknown"))</f>
        <v>Unknown</v>
      </c>
      <c r="O367" t="s">
        <v>844</v>
      </c>
      <c r="P367">
        <f>IFERROR(VALUE(SUBSTITUTE(SUBSTITUTE(SUBSTITUTE(Table1[[#This Row],[revenue]],"EUR",""),"$",""),".",",")),"")</f>
        <v>1980.91</v>
      </c>
      <c r="Q367" t="s">
        <v>55</v>
      </c>
      <c r="R367" t="str">
        <f>IF(OR(Table1[[#This Row],[currency]]="EUR",Table1[[#This Row],[currency]]="€"),"EUR",IF(OR(Table1[[#This Row],[currency]]="USD",Table1[[#This Row],[currency]]="$"),"USD","Unknown"))</f>
        <v>EUR</v>
      </c>
      <c r="S367" t="s">
        <v>35</v>
      </c>
      <c r="T367" t="str">
        <f>IFERROR(_xlfn.XLOOKUP(Table1[[#This Row],[order_status]],Table8[Original],Table8[Clean],,0,1),"Unknown")</f>
        <v>Returned</v>
      </c>
      <c r="U367" t="s">
        <v>36</v>
      </c>
      <c r="V367">
        <f>IF(ISNUMBER(Table1[[#This Row],[delivery_days]]),Table1[[#This Row],[delivery_days]],IFERROR(_xlfn.XLOOKUP(Table1[[#This Row],[delivery_days]],Table57[Original],Table57[Clean],,0,1),"Unknown"))</f>
        <v>5</v>
      </c>
    </row>
    <row r="368" spans="1:23" x14ac:dyDescent="0.3">
      <c r="B368" t="str">
        <f>IF(ISBLANK(Table1[[#This Row],[order_id]]),"",IF(LEFT(Table1[[#This Row],[order_id]],3)="ORD",Table1[[#This Row],[order_id]],"ORD-" &amp; Table1[[#This Row],[order_id]]))</f>
        <v/>
      </c>
      <c r="D368" s="1" t="str">
        <f>IFERROR(DATEVALUE(Table1[[#This Row],[order_date]]),"")</f>
        <v/>
      </c>
      <c r="E368" t="s">
        <v>845</v>
      </c>
      <c r="F368" t="str">
        <f>IF(ISBLANK(Table1[[#This Row],[customer_name]]),"Unknown Customer",PROPER(SUBSTITUTE(Table1[[#This Row],[customer_name]],"Cust.","Customer")))</f>
        <v>Customer 366</v>
      </c>
      <c r="G368" t="s">
        <v>32</v>
      </c>
      <c r="H368" t="str">
        <f>IFERROR(_xlfn.XLOOKUP(Table1[[#This Row],[region]],Mappings!$C$3:$C$8,Mappings!$D$3:$D$8,,0,1),"Unknown")</f>
        <v>Europe</v>
      </c>
      <c r="I368" t="s">
        <v>68</v>
      </c>
      <c r="J368" t="str">
        <f>IFERROR(_xlfn.XLOOKUP(Table1[[#This Row],[sales_channel]],Table4[Original],Table4[Clean],,0,1),"Unknown")</f>
        <v>Online</v>
      </c>
      <c r="L368" t="str">
        <f>IFERROR(_xlfn.XLOOKUP(Table1[[#This Row],[product]],Table3[Original],Table3[Product_clean],,0,1),"Unknown")</f>
        <v>Unknown</v>
      </c>
      <c r="M368" s="6"/>
      <c r="N368" t="str">
        <f>IF(ISNUMBER(Table1[[#This Row],[quantity]]),Table1[[#This Row],[quantity]],IFERROR(VLOOKUP(Table1[[#This Row],[quantity]],Table5[#All],2,FALSE),"Unknown"))</f>
        <v>Unknown</v>
      </c>
      <c r="O368" t="s">
        <v>846</v>
      </c>
      <c r="P368">
        <f>IFERROR(VALUE(SUBSTITUTE(SUBSTITUTE(SUBSTITUTE(Table1[[#This Row],[revenue]],"EUR",""),"$",""),".",",")),"")</f>
        <v>1128.6500000000001</v>
      </c>
      <c r="Q368" t="s">
        <v>22</v>
      </c>
      <c r="R368" t="str">
        <f>IF(OR(Table1[[#This Row],[currency]]="EUR",Table1[[#This Row],[currency]]="€"),"EUR",IF(OR(Table1[[#This Row],[currency]]="USD",Table1[[#This Row],[currency]]="$"),"USD","Unknown"))</f>
        <v>USD</v>
      </c>
      <c r="S368" t="s">
        <v>23</v>
      </c>
      <c r="T368" t="str">
        <f>IFERROR(_xlfn.XLOOKUP(Table1[[#This Row],[order_status]],Table8[Original],Table8[Clean],,0,1),"Unknown")</f>
        <v>Delivered</v>
      </c>
      <c r="U368">
        <v>3</v>
      </c>
      <c r="V368">
        <f>IF(ISNUMBER(Table1[[#This Row],[delivery_days]]),Table1[[#This Row],[delivery_days]],IFERROR(_xlfn.XLOOKUP(Table1[[#This Row],[delivery_days]],Table57[Original],Table57[Clean],,0,1),"Unknown"))</f>
        <v>3</v>
      </c>
    </row>
    <row r="369" spans="1:23" x14ac:dyDescent="0.3">
      <c r="B369" t="str">
        <f>IF(ISBLANK(Table1[[#This Row],[order_id]]),"",IF(LEFT(Table1[[#This Row],[order_id]],3)="ORD",Table1[[#This Row],[order_id]],"ORD-" &amp; Table1[[#This Row],[order_id]]))</f>
        <v/>
      </c>
      <c r="D369" s="1" t="str">
        <f>IFERROR(DATEVALUE(Table1[[#This Row],[order_date]]),"")</f>
        <v/>
      </c>
      <c r="E369" t="s">
        <v>847</v>
      </c>
      <c r="F369" t="str">
        <f>IF(ISBLANK(Table1[[#This Row],[customer_name]]),"Unknown Customer",PROPER(SUBSTITUTE(Table1[[#This Row],[customer_name]],"Cust.","Customer")))</f>
        <v>Customer 367</v>
      </c>
      <c r="H369" t="str">
        <f>IFERROR(_xlfn.XLOOKUP(Table1[[#This Row],[region]],Mappings!$C$3:$C$8,Mappings!$D$3:$D$8,,0,1),"Unknown")</f>
        <v>Unknown</v>
      </c>
      <c r="J369" t="str">
        <f>IFERROR(_xlfn.XLOOKUP(Table1[[#This Row],[sales_channel]],Table4[Original],Table4[Clean],,0,1),"Unknown")</f>
        <v>Unknown</v>
      </c>
      <c r="K369" t="s">
        <v>51</v>
      </c>
      <c r="L369" t="str">
        <f>IFERROR(_xlfn.XLOOKUP(Table1[[#This Row],[product]],Table3[Original],Table3[Product_clean],,0,1),"Unknown")</f>
        <v>Laptop</v>
      </c>
      <c r="M369" s="6">
        <v>2</v>
      </c>
      <c r="N369">
        <f>IF(ISNUMBER(Table1[[#This Row],[quantity]]),Table1[[#This Row],[quantity]],IFERROR(VLOOKUP(Table1[[#This Row],[quantity]],Table5[#All],2,FALSE),"Unknown"))</f>
        <v>2</v>
      </c>
      <c r="O369" t="s">
        <v>848</v>
      </c>
      <c r="P369">
        <f>IFERROR(VALUE(SUBSTITUTE(SUBSTITUTE(SUBSTITUTE(Table1[[#This Row],[revenue]],"EUR",""),"$",""),".",",")),"")</f>
        <v>2966.1</v>
      </c>
      <c r="Q369" t="s">
        <v>22</v>
      </c>
      <c r="R369" t="str">
        <f>IF(OR(Table1[[#This Row],[currency]]="EUR",Table1[[#This Row],[currency]]="€"),"EUR",IF(OR(Table1[[#This Row],[currency]]="USD",Table1[[#This Row],[currency]]="$"),"USD","Unknown"))</f>
        <v>USD</v>
      </c>
      <c r="T369" t="str">
        <f>IFERROR(_xlfn.XLOOKUP(Table1[[#This Row],[order_status]],Table8[Original],Table8[Clean],,0,1),"Unknown")</f>
        <v>Unknown</v>
      </c>
      <c r="U369">
        <v>2</v>
      </c>
      <c r="V369">
        <f>IF(ISNUMBER(Table1[[#This Row],[delivery_days]]),Table1[[#This Row],[delivery_days]],IFERROR(_xlfn.XLOOKUP(Table1[[#This Row],[delivery_days]],Table57[Original],Table57[Clean],,0,1),"Unknown"))</f>
        <v>2</v>
      </c>
    </row>
    <row r="370" spans="1:23" x14ac:dyDescent="0.3">
      <c r="B370" t="str">
        <f>IF(ISBLANK(Table1[[#This Row],[order_id]]),"",IF(LEFT(Table1[[#This Row],[order_id]],3)="ORD",Table1[[#This Row],[order_id]],"ORD-" &amp; Table1[[#This Row],[order_id]]))</f>
        <v/>
      </c>
      <c r="C370" t="s">
        <v>849</v>
      </c>
      <c r="D370" s="1">
        <f>IFERROR(DATEVALUE(Table1[[#This Row],[order_date]]),"")</f>
        <v>45401</v>
      </c>
      <c r="E370" t="s">
        <v>850</v>
      </c>
      <c r="F370" t="str">
        <f>IF(ISBLANK(Table1[[#This Row],[customer_name]]),"Unknown Customer",PROPER(SUBSTITUTE(Table1[[#This Row],[customer_name]],"Cust.","Customer")))</f>
        <v>Customer 368</v>
      </c>
      <c r="G370" t="s">
        <v>32</v>
      </c>
      <c r="H370" t="str">
        <f>IFERROR(_xlfn.XLOOKUP(Table1[[#This Row],[region]],Mappings!$C$3:$C$8,Mappings!$D$3:$D$8,,0,1),"Unknown")</f>
        <v>Europe</v>
      </c>
      <c r="J370" t="str">
        <f>IFERROR(_xlfn.XLOOKUP(Table1[[#This Row],[sales_channel]],Table4[Original],Table4[Clean],,0,1),"Unknown")</f>
        <v>Unknown</v>
      </c>
      <c r="K370" t="s">
        <v>51</v>
      </c>
      <c r="L370" t="str">
        <f>IFERROR(_xlfn.XLOOKUP(Table1[[#This Row],[product]],Table3[Original],Table3[Product_clean],,0,1),"Unknown")</f>
        <v>Laptop</v>
      </c>
      <c r="M370" s="6">
        <v>1</v>
      </c>
      <c r="N370">
        <f>IF(ISNUMBER(Table1[[#This Row],[quantity]]),Table1[[#This Row],[quantity]],IFERROR(VLOOKUP(Table1[[#This Row],[quantity]],Table5[#All],2,FALSE),"Unknown"))</f>
        <v>1</v>
      </c>
      <c r="O370" t="s">
        <v>851</v>
      </c>
      <c r="P370">
        <f>IFERROR(VALUE(SUBSTITUTE(SUBSTITUTE(SUBSTITUTE(Table1[[#This Row],[revenue]],"EUR",""),"$",""),".",",")),"")</f>
        <v>1549.61</v>
      </c>
      <c r="Q370" t="s">
        <v>58</v>
      </c>
      <c r="R370" t="str">
        <f>IF(OR(Table1[[#This Row],[currency]]="EUR",Table1[[#This Row],[currency]]="€"),"EUR",IF(OR(Table1[[#This Row],[currency]]="USD",Table1[[#This Row],[currency]]="$"),"USD","Unknown"))</f>
        <v>USD</v>
      </c>
      <c r="S370" t="s">
        <v>47</v>
      </c>
      <c r="T370" t="str">
        <f>IFERROR(_xlfn.XLOOKUP(Table1[[#This Row],[order_status]],Table8[Original],Table8[Clean],,0,1),"Unknown")</f>
        <v>Returned</v>
      </c>
      <c r="U370" t="s">
        <v>36</v>
      </c>
      <c r="V370">
        <f>IF(ISNUMBER(Table1[[#This Row],[delivery_days]]),Table1[[#This Row],[delivery_days]],IFERROR(_xlfn.XLOOKUP(Table1[[#This Row],[delivery_days]],Table57[Original],Table57[Clean],,0,1),"Unknown"))</f>
        <v>5</v>
      </c>
    </row>
    <row r="371" spans="1:23" x14ac:dyDescent="0.3">
      <c r="A371" t="s">
        <v>852</v>
      </c>
      <c r="B371" t="str">
        <f>IF(ISBLANK(Table1[[#This Row],[order_id]]),"",IF(LEFT(Table1[[#This Row],[order_id]],3)="ORD",Table1[[#This Row],[order_id]],"ORD-" &amp; Table1[[#This Row],[order_id]]))</f>
        <v>ORD-1369</v>
      </c>
      <c r="C371" t="s">
        <v>853</v>
      </c>
      <c r="D371" s="1">
        <f>IFERROR(DATEVALUE(Table1[[#This Row],[order_date]]),"")</f>
        <v>45337</v>
      </c>
      <c r="E371" t="s">
        <v>854</v>
      </c>
      <c r="F371" t="str">
        <f>IF(ISBLANK(Table1[[#This Row],[customer_name]]),"Unknown Customer",PROPER(SUBSTITUTE(Table1[[#This Row],[customer_name]],"Cust.","Customer")))</f>
        <v>Customer 369</v>
      </c>
      <c r="H371" t="str">
        <f>IFERROR(_xlfn.XLOOKUP(Table1[[#This Row],[region]],Mappings!$C$3:$C$8,Mappings!$D$3:$D$8,,0,1),"Unknown")</f>
        <v>Unknown</v>
      </c>
      <c r="I371" t="s">
        <v>78</v>
      </c>
      <c r="J371" t="str">
        <f>IFERROR(_xlfn.XLOOKUP(Table1[[#This Row],[sales_channel]],Table4[Original],Table4[Clean],,0,1),"Unknown")</f>
        <v>Mobile</v>
      </c>
      <c r="K371" t="s">
        <v>41</v>
      </c>
      <c r="L371" t="str">
        <f>IFERROR(_xlfn.XLOOKUP(Table1[[#This Row],[product]],Table3[Original],Table3[Product_clean],,0,1),"Unknown")</f>
        <v>Phone</v>
      </c>
      <c r="M371" s="6"/>
      <c r="N371" t="str">
        <f>IF(ISNUMBER(Table1[[#This Row],[quantity]]),Table1[[#This Row],[quantity]],IFERROR(VLOOKUP(Table1[[#This Row],[quantity]],Table5[#All],2,FALSE),"Unknown"))</f>
        <v>Unknown</v>
      </c>
      <c r="O371" t="s">
        <v>855</v>
      </c>
      <c r="P371">
        <f>IFERROR(VALUE(SUBSTITUTE(SUBSTITUTE(SUBSTITUTE(Table1[[#This Row],[revenue]],"EUR",""),"$",""),".",",")),"")</f>
        <v>239.04</v>
      </c>
      <c r="R371" t="str">
        <f>IF(OR(Table1[[#This Row],[currency]]="EUR",Table1[[#This Row],[currency]]="€"),"EUR",IF(OR(Table1[[#This Row],[currency]]="USD",Table1[[#This Row],[currency]]="$"),"USD","Unknown"))</f>
        <v>Unknown</v>
      </c>
      <c r="S371" t="s">
        <v>35</v>
      </c>
      <c r="T371" t="str">
        <f>IFERROR(_xlfn.XLOOKUP(Table1[[#This Row],[order_status]],Table8[Original],Table8[Clean],,0,1),"Unknown")</f>
        <v>Returned</v>
      </c>
      <c r="V371" t="str">
        <f>IF(ISNUMBER(Table1[[#This Row],[delivery_days]]),Table1[[#This Row],[delivery_days]],IFERROR(_xlfn.XLOOKUP(Table1[[#This Row],[delivery_days]],Table57[Original],Table57[Clean],,0,1),"Unknown"))</f>
        <v>Unknown</v>
      </c>
    </row>
    <row r="372" spans="1:23" x14ac:dyDescent="0.3">
      <c r="A372" t="s">
        <v>856</v>
      </c>
      <c r="B372" t="str">
        <f>IF(ISBLANK(Table1[[#This Row],[order_id]]),"",IF(LEFT(Table1[[#This Row],[order_id]],3)="ORD",Table1[[#This Row],[order_id]],"ORD-" &amp; Table1[[#This Row],[order_id]]))</f>
        <v>ORD-1370</v>
      </c>
      <c r="C372" t="s">
        <v>857</v>
      </c>
      <c r="D372" s="1">
        <f>IFERROR(DATEVALUE(Table1[[#This Row],[order_date]]),"")</f>
        <v>45688</v>
      </c>
      <c r="E372" t="s">
        <v>858</v>
      </c>
      <c r="F372" t="str">
        <f>IF(ISBLANK(Table1[[#This Row],[customer_name]]),"Unknown Customer",PROPER(SUBSTITUTE(Table1[[#This Row],[customer_name]],"Cust.","Customer")))</f>
        <v>Customer 370</v>
      </c>
      <c r="H372" t="str">
        <f>IFERROR(_xlfn.XLOOKUP(Table1[[#This Row],[region]],Mappings!$C$3:$C$8,Mappings!$D$3:$D$8,,0,1),"Unknown")</f>
        <v>Unknown</v>
      </c>
      <c r="J372" t="str">
        <f>IFERROR(_xlfn.XLOOKUP(Table1[[#This Row],[sales_channel]],Table4[Original],Table4[Clean],,0,1),"Unknown")</f>
        <v>Unknown</v>
      </c>
      <c r="L372" t="str">
        <f>IFERROR(_xlfn.XLOOKUP(Table1[[#This Row],[product]],Table3[Original],Table3[Product_clean],,0,1),"Unknown")</f>
        <v>Unknown</v>
      </c>
      <c r="M372" s="6"/>
      <c r="N372" t="str">
        <f>IF(ISNUMBER(Table1[[#This Row],[quantity]]),Table1[[#This Row],[quantity]],IFERROR(VLOOKUP(Table1[[#This Row],[quantity]],Table5[#All],2,FALSE),"Unknown"))</f>
        <v>Unknown</v>
      </c>
      <c r="P372" t="str">
        <f>IFERROR(VALUE(SUBSTITUTE(SUBSTITUTE(SUBSTITUTE(Table1[[#This Row],[revenue]],"EUR",""),"$",""),".",",")),"")</f>
        <v/>
      </c>
      <c r="Q372" t="s">
        <v>55</v>
      </c>
      <c r="R372" t="str">
        <f>IF(OR(Table1[[#This Row],[currency]]="EUR",Table1[[#This Row],[currency]]="€"),"EUR",IF(OR(Table1[[#This Row],[currency]]="USD",Table1[[#This Row],[currency]]="$"),"USD","Unknown"))</f>
        <v>EUR</v>
      </c>
      <c r="S372" t="s">
        <v>23</v>
      </c>
      <c r="T372" t="str">
        <f>IFERROR(_xlfn.XLOOKUP(Table1[[#This Row],[order_status]],Table8[Original],Table8[Clean],,0,1),"Unknown")</f>
        <v>Delivered</v>
      </c>
      <c r="U372">
        <v>1</v>
      </c>
      <c r="V372">
        <f>IF(ISNUMBER(Table1[[#This Row],[delivery_days]]),Table1[[#This Row],[delivery_days]],IFERROR(_xlfn.XLOOKUP(Table1[[#This Row],[delivery_days]],Table57[Original],Table57[Clean],,0,1),"Unknown"))</f>
        <v>1</v>
      </c>
      <c r="W372" t="s">
        <v>37</v>
      </c>
    </row>
    <row r="373" spans="1:23" x14ac:dyDescent="0.3">
      <c r="A373" t="s">
        <v>859</v>
      </c>
      <c r="B373" t="str">
        <f>IF(ISBLANK(Table1[[#This Row],[order_id]]),"",IF(LEFT(Table1[[#This Row],[order_id]],3)="ORD",Table1[[#This Row],[order_id]],"ORD-" &amp; Table1[[#This Row],[order_id]]))</f>
        <v>ORD-1371</v>
      </c>
      <c r="C373" t="s">
        <v>430</v>
      </c>
      <c r="D373" s="1">
        <f>IFERROR(DATEVALUE(Table1[[#This Row],[order_date]]),"")</f>
        <v>45606</v>
      </c>
      <c r="E373" t="s">
        <v>860</v>
      </c>
      <c r="F373" t="str">
        <f>IF(ISBLANK(Table1[[#This Row],[customer_name]]),"Unknown Customer",PROPER(SUBSTITUTE(Table1[[#This Row],[customer_name]],"Cust.","Customer")))</f>
        <v>Customer 371</v>
      </c>
      <c r="G373" t="s">
        <v>54</v>
      </c>
      <c r="H373" t="str">
        <f>IFERROR(_xlfn.XLOOKUP(Table1[[#This Row],[region]],Mappings!$C$3:$C$8,Mappings!$D$3:$D$8,,0,1),"Unknown")</f>
        <v>USA</v>
      </c>
      <c r="I373" t="s">
        <v>14</v>
      </c>
      <c r="J373" t="str">
        <f>IFERROR(_xlfn.XLOOKUP(Table1[[#This Row],[sales_channel]],Table4[Original],Table4[Clean],,0,1),"Unknown")</f>
        <v>Online</v>
      </c>
      <c r="K373" t="s">
        <v>102</v>
      </c>
      <c r="L373" t="str">
        <f>IFERROR(_xlfn.XLOOKUP(Table1[[#This Row],[product]],Table3[Original],Table3[Product_clean],,0,1),"Unknown")</f>
        <v>Phone</v>
      </c>
      <c r="M373" s="6" t="s">
        <v>83</v>
      </c>
      <c r="N373">
        <f>IF(ISNUMBER(Table1[[#This Row],[quantity]]),Table1[[#This Row],[quantity]],IFERROR(VLOOKUP(Table1[[#This Row],[quantity]],Table5[#All],2,FALSE),"Unknown"))</f>
        <v>2</v>
      </c>
      <c r="O373">
        <v>549.97</v>
      </c>
      <c r="P373">
        <f>IFERROR(VALUE(SUBSTITUTE(SUBSTITUTE(SUBSTITUTE(Table1[[#This Row],[revenue]],"EUR",""),"$",""),".",",")),"")</f>
        <v>549.97</v>
      </c>
      <c r="Q373" t="s">
        <v>55</v>
      </c>
      <c r="R373" t="str">
        <f>IF(OR(Table1[[#This Row],[currency]]="EUR",Table1[[#This Row],[currency]]="€"),"EUR",IF(OR(Table1[[#This Row],[currency]]="USD",Table1[[#This Row],[currency]]="$"),"USD","Unknown"))</f>
        <v>EUR</v>
      </c>
      <c r="T373" t="str">
        <f>IFERROR(_xlfn.XLOOKUP(Table1[[#This Row],[order_status]],Table8[Original],Table8[Clean],,0,1),"Unknown")</f>
        <v>Unknown</v>
      </c>
      <c r="U373">
        <v>5</v>
      </c>
      <c r="V373">
        <f>IF(ISNUMBER(Table1[[#This Row],[delivery_days]]),Table1[[#This Row],[delivery_days]],IFERROR(_xlfn.XLOOKUP(Table1[[#This Row],[delivery_days]],Table57[Original],Table57[Clean],,0,1),"Unknown"))</f>
        <v>5</v>
      </c>
    </row>
    <row r="374" spans="1:23" x14ac:dyDescent="0.3">
      <c r="B374" t="str">
        <f>IF(ISBLANK(Table1[[#This Row],[order_id]]),"",IF(LEFT(Table1[[#This Row],[order_id]],3)="ORD",Table1[[#This Row],[order_id]],"ORD-" &amp; Table1[[#This Row],[order_id]]))</f>
        <v/>
      </c>
      <c r="C374" t="s">
        <v>861</v>
      </c>
      <c r="D374" s="1">
        <f>IFERROR(DATEVALUE(Table1[[#This Row],[order_date]]),"")</f>
        <v>45592</v>
      </c>
      <c r="E374" t="s">
        <v>862</v>
      </c>
      <c r="F374" t="str">
        <f>IF(ISBLANK(Table1[[#This Row],[customer_name]]),"Unknown Customer",PROPER(SUBSTITUTE(Table1[[#This Row],[customer_name]],"Cust.","Customer")))</f>
        <v>Customer 372</v>
      </c>
      <c r="G374" t="s">
        <v>45</v>
      </c>
      <c r="H374" t="str">
        <f>IFERROR(_xlfn.XLOOKUP(Table1[[#This Row],[region]],Mappings!$C$3:$C$8,Mappings!$D$3:$D$8,,0,1),"Unknown")</f>
        <v>USA</v>
      </c>
      <c r="I374" t="s">
        <v>50</v>
      </c>
      <c r="J374" t="str">
        <f>IFERROR(_xlfn.XLOOKUP(Table1[[#This Row],[sales_channel]],Table4[Original],Table4[Clean],,0,1),"Unknown")</f>
        <v>Mobile</v>
      </c>
      <c r="K374" t="s">
        <v>15</v>
      </c>
      <c r="L374" t="str">
        <f>IFERROR(_xlfn.XLOOKUP(Table1[[#This Row],[product]],Table3[Original],Table3[Product_clean],,0,1),"Unknown")</f>
        <v>Tablet</v>
      </c>
      <c r="M374" s="6"/>
      <c r="N374" t="str">
        <f>IF(ISNUMBER(Table1[[#This Row],[quantity]]),Table1[[#This Row],[quantity]],IFERROR(VLOOKUP(Table1[[#This Row],[quantity]],Table5[#All],2,FALSE),"Unknown"))</f>
        <v>Unknown</v>
      </c>
      <c r="O374">
        <v>640.91999999999996</v>
      </c>
      <c r="P374">
        <f>IFERROR(VALUE(SUBSTITUTE(SUBSTITUTE(SUBSTITUTE(Table1[[#This Row],[revenue]],"EUR",""),"$",""),".",",")),"")</f>
        <v>640.91999999999996</v>
      </c>
      <c r="R374" t="str">
        <f>IF(OR(Table1[[#This Row],[currency]]="EUR",Table1[[#This Row],[currency]]="€"),"EUR",IF(OR(Table1[[#This Row],[currency]]="USD",Table1[[#This Row],[currency]]="$"),"USD","Unknown"))</f>
        <v>Unknown</v>
      </c>
      <c r="S374" t="s">
        <v>35</v>
      </c>
      <c r="T374" t="str">
        <f>IFERROR(_xlfn.XLOOKUP(Table1[[#This Row],[order_status]],Table8[Original],Table8[Clean],,0,1),"Unknown")</f>
        <v>Returned</v>
      </c>
      <c r="U374">
        <v>3</v>
      </c>
      <c r="V374">
        <f>IF(ISNUMBER(Table1[[#This Row],[delivery_days]]),Table1[[#This Row],[delivery_days]],IFERROR(_xlfn.XLOOKUP(Table1[[#This Row],[delivery_days]],Table57[Original],Table57[Clean],,0,1),"Unknown"))</f>
        <v>3</v>
      </c>
      <c r="W374" t="s">
        <v>24</v>
      </c>
    </row>
    <row r="375" spans="1:23" x14ac:dyDescent="0.3">
      <c r="A375" t="s">
        <v>863</v>
      </c>
      <c r="B375" t="str">
        <f>IF(ISBLANK(Table1[[#This Row],[order_id]]),"",IF(LEFT(Table1[[#This Row],[order_id]],3)="ORD",Table1[[#This Row],[order_id]],"ORD-" &amp; Table1[[#This Row],[order_id]]))</f>
        <v>ORD-1373</v>
      </c>
      <c r="D375" s="1" t="str">
        <f>IFERROR(DATEVALUE(Table1[[#This Row],[order_date]]),"")</f>
        <v/>
      </c>
      <c r="E375" t="s">
        <v>864</v>
      </c>
      <c r="F375" t="str">
        <f>IF(ISBLANK(Table1[[#This Row],[customer_name]]),"Unknown Customer",PROPER(SUBSTITUTE(Table1[[#This Row],[customer_name]],"Cust.","Customer")))</f>
        <v>Customer 373</v>
      </c>
      <c r="G375" t="s">
        <v>26</v>
      </c>
      <c r="H375" t="str">
        <f>IFERROR(_xlfn.XLOOKUP(Table1[[#This Row],[region]],Mappings!$C$3:$C$8,Mappings!$D$3:$D$8,,0,1),"Unknown")</f>
        <v>Asia</v>
      </c>
      <c r="I375" t="s">
        <v>27</v>
      </c>
      <c r="J375" t="str">
        <f>IFERROR(_xlfn.XLOOKUP(Table1[[#This Row],[sales_channel]],Table4[Original],Table4[Clean],,0,1),"Unknown")</f>
        <v>Online</v>
      </c>
      <c r="K375" t="s">
        <v>41</v>
      </c>
      <c r="L375" t="str">
        <f>IFERROR(_xlfn.XLOOKUP(Table1[[#This Row],[product]],Table3[Original],Table3[Product_clean],,0,1),"Unknown")</f>
        <v>Phone</v>
      </c>
      <c r="M375" s="6"/>
      <c r="N375" t="str">
        <f>IF(ISNUMBER(Table1[[#This Row],[quantity]]),Table1[[#This Row],[quantity]],IFERROR(VLOOKUP(Table1[[#This Row],[quantity]],Table5[#All],2,FALSE),"Unknown"))</f>
        <v>Unknown</v>
      </c>
      <c r="O375" t="s">
        <v>865</v>
      </c>
      <c r="P375">
        <f>IFERROR(VALUE(SUBSTITUTE(SUBSTITUTE(SUBSTITUTE(Table1[[#This Row],[revenue]],"EUR",""),"$",""),".",",")),"")</f>
        <v>1838.77</v>
      </c>
      <c r="Q375" t="s">
        <v>17</v>
      </c>
      <c r="R375" t="str">
        <f>IF(OR(Table1[[#This Row],[currency]]="EUR",Table1[[#This Row],[currency]]="€"),"EUR",IF(OR(Table1[[#This Row],[currency]]="USD",Table1[[#This Row],[currency]]="$"),"USD","Unknown"))</f>
        <v>EUR</v>
      </c>
      <c r="S375" t="s">
        <v>18</v>
      </c>
      <c r="T375" t="str">
        <f>IFERROR(_xlfn.XLOOKUP(Table1[[#This Row],[order_status]],Table8[Original],Table8[Clean],,0,1),"Unknown")</f>
        <v>Pending</v>
      </c>
      <c r="U375">
        <v>1</v>
      </c>
      <c r="V375">
        <f>IF(ISNUMBER(Table1[[#This Row],[delivery_days]]),Table1[[#This Row],[delivery_days]],IFERROR(_xlfn.XLOOKUP(Table1[[#This Row],[delivery_days]],Table57[Original],Table57[Clean],,0,1),"Unknown"))</f>
        <v>1</v>
      </c>
      <c r="W375" t="s">
        <v>24</v>
      </c>
    </row>
    <row r="376" spans="1:23" x14ac:dyDescent="0.3">
      <c r="B376" t="str">
        <f>IF(ISBLANK(Table1[[#This Row],[order_id]]),"",IF(LEFT(Table1[[#This Row],[order_id]],3)="ORD",Table1[[#This Row],[order_id]],"ORD-" &amp; Table1[[#This Row],[order_id]]))</f>
        <v/>
      </c>
      <c r="C376" t="s">
        <v>866</v>
      </c>
      <c r="D376" s="1" t="str">
        <f>IFERROR(DATEVALUE(Table1[[#This Row],[order_date]]),"")</f>
        <v/>
      </c>
      <c r="F376" t="str">
        <f>IF(ISBLANK(Table1[[#This Row],[customer_name]]),"Unknown Customer",PROPER(SUBSTITUTE(Table1[[#This Row],[customer_name]],"Cust.","Customer")))</f>
        <v>Unknown Customer</v>
      </c>
      <c r="G376" t="s">
        <v>32</v>
      </c>
      <c r="H376" t="str">
        <f>IFERROR(_xlfn.XLOOKUP(Table1[[#This Row],[region]],Mappings!$C$3:$C$8,Mappings!$D$3:$D$8,,0,1),"Unknown")</f>
        <v>Europe</v>
      </c>
      <c r="I376" t="s">
        <v>68</v>
      </c>
      <c r="J376" t="str">
        <f>IFERROR(_xlfn.XLOOKUP(Table1[[#This Row],[sales_channel]],Table4[Original],Table4[Clean],,0,1),"Unknown")</f>
        <v>Online</v>
      </c>
      <c r="K376" t="s">
        <v>41</v>
      </c>
      <c r="L376" t="str">
        <f>IFERROR(_xlfn.XLOOKUP(Table1[[#This Row],[product]],Table3[Original],Table3[Product_clean],,0,1),"Unknown")</f>
        <v>Phone</v>
      </c>
      <c r="M376" s="6">
        <v>2</v>
      </c>
      <c r="N376">
        <f>IF(ISNUMBER(Table1[[#This Row],[quantity]]),Table1[[#This Row],[quantity]],IFERROR(VLOOKUP(Table1[[#This Row],[quantity]],Table5[#All],2,FALSE),"Unknown"))</f>
        <v>2</v>
      </c>
      <c r="O376" t="s">
        <v>867</v>
      </c>
      <c r="P376">
        <f>IFERROR(VALUE(SUBSTITUTE(SUBSTITUTE(SUBSTITUTE(Table1[[#This Row],[revenue]],"EUR",""),"$",""),".",",")),"")</f>
        <v>2843.7</v>
      </c>
      <c r="Q376" t="s">
        <v>55</v>
      </c>
      <c r="R376" t="str">
        <f>IF(OR(Table1[[#This Row],[currency]]="EUR",Table1[[#This Row],[currency]]="€"),"EUR",IF(OR(Table1[[#This Row],[currency]]="USD",Table1[[#This Row],[currency]]="$"),"USD","Unknown"))</f>
        <v>EUR</v>
      </c>
      <c r="S376" t="s">
        <v>47</v>
      </c>
      <c r="T376" t="str">
        <f>IFERROR(_xlfn.XLOOKUP(Table1[[#This Row],[order_status]],Table8[Original],Table8[Clean],,0,1),"Unknown")</f>
        <v>Returned</v>
      </c>
      <c r="V376" t="str">
        <f>IF(ISNUMBER(Table1[[#This Row],[delivery_days]]),Table1[[#This Row],[delivery_days]],IFERROR(_xlfn.XLOOKUP(Table1[[#This Row],[delivery_days]],Table57[Original],Table57[Clean],,0,1),"Unknown"))</f>
        <v>Unknown</v>
      </c>
    </row>
    <row r="377" spans="1:23" x14ac:dyDescent="0.3">
      <c r="A377">
        <v>1375</v>
      </c>
      <c r="B377" t="str">
        <f>IF(ISBLANK(Table1[[#This Row],[order_id]]),"",IF(LEFT(Table1[[#This Row],[order_id]],3)="ORD",Table1[[#This Row],[order_id]],"ORD-" &amp; Table1[[#This Row],[order_id]]))</f>
        <v>ORD-1375</v>
      </c>
      <c r="C377" t="s">
        <v>868</v>
      </c>
      <c r="D377" s="1" t="str">
        <f>IFERROR(DATEVALUE(Table1[[#This Row],[order_date]]),"")</f>
        <v/>
      </c>
      <c r="E377" t="s">
        <v>869</v>
      </c>
      <c r="F377" t="str">
        <f>IF(ISBLANK(Table1[[#This Row],[customer_name]]),"Unknown Customer",PROPER(SUBSTITUTE(Table1[[#This Row],[customer_name]],"Cust.","Customer")))</f>
        <v>Customer 375</v>
      </c>
      <c r="G377" t="s">
        <v>32</v>
      </c>
      <c r="H377" t="str">
        <f>IFERROR(_xlfn.XLOOKUP(Table1[[#This Row],[region]],Mappings!$C$3:$C$8,Mappings!$D$3:$D$8,,0,1),"Unknown")</f>
        <v>Europe</v>
      </c>
      <c r="J377" t="str">
        <f>IFERROR(_xlfn.XLOOKUP(Table1[[#This Row],[sales_channel]],Table4[Original],Table4[Clean],,0,1),"Unknown")</f>
        <v>Unknown</v>
      </c>
      <c r="L377" t="str">
        <f>IFERROR(_xlfn.XLOOKUP(Table1[[#This Row],[product]],Table3[Original],Table3[Product_clean],,0,1),"Unknown")</f>
        <v>Unknown</v>
      </c>
      <c r="M377" s="6">
        <v>2</v>
      </c>
      <c r="N377">
        <f>IF(ISNUMBER(Table1[[#This Row],[quantity]]),Table1[[#This Row],[quantity]],IFERROR(VLOOKUP(Table1[[#This Row],[quantity]],Table5[#All],2,FALSE),"Unknown"))</f>
        <v>2</v>
      </c>
      <c r="P377" t="str">
        <f>IFERROR(VALUE(SUBSTITUTE(SUBSTITUTE(SUBSTITUTE(Table1[[#This Row],[revenue]],"EUR",""),"$",""),".",",")),"")</f>
        <v/>
      </c>
      <c r="Q377" t="s">
        <v>58</v>
      </c>
      <c r="R377" t="str">
        <f>IF(OR(Table1[[#This Row],[currency]]="EUR",Table1[[#This Row],[currency]]="€"),"EUR",IF(OR(Table1[[#This Row],[currency]]="USD",Table1[[#This Row],[currency]]="$"),"USD","Unknown"))</f>
        <v>USD</v>
      </c>
      <c r="S377" t="s">
        <v>35</v>
      </c>
      <c r="T377" t="str">
        <f>IFERROR(_xlfn.XLOOKUP(Table1[[#This Row],[order_status]],Table8[Original],Table8[Clean],,0,1),"Unknown")</f>
        <v>Returned</v>
      </c>
      <c r="U377">
        <v>5</v>
      </c>
      <c r="V377">
        <f>IF(ISNUMBER(Table1[[#This Row],[delivery_days]]),Table1[[#This Row],[delivery_days]],IFERROR(_xlfn.XLOOKUP(Table1[[#This Row],[delivery_days]],Table57[Original],Table57[Clean],,0,1),"Unknown"))</f>
        <v>5</v>
      </c>
      <c r="W377" t="s">
        <v>24</v>
      </c>
    </row>
    <row r="378" spans="1:23" x14ac:dyDescent="0.3">
      <c r="A378">
        <v>1376</v>
      </c>
      <c r="B378" t="str">
        <f>IF(ISBLANK(Table1[[#This Row],[order_id]]),"",IF(LEFT(Table1[[#This Row],[order_id]],3)="ORD",Table1[[#This Row],[order_id]],"ORD-" &amp; Table1[[#This Row],[order_id]]))</f>
        <v>ORD-1376</v>
      </c>
      <c r="C378" t="s">
        <v>870</v>
      </c>
      <c r="D378" s="1" t="str">
        <f>IFERROR(DATEVALUE(Table1[[#This Row],[order_date]]),"")</f>
        <v/>
      </c>
      <c r="E378" t="s">
        <v>871</v>
      </c>
      <c r="F378" t="str">
        <f>IF(ISBLANK(Table1[[#This Row],[customer_name]]),"Unknown Customer",PROPER(SUBSTITUTE(Table1[[#This Row],[customer_name]],"Cust.","Customer")))</f>
        <v>Customer 376</v>
      </c>
      <c r="G378" t="s">
        <v>32</v>
      </c>
      <c r="H378" t="str">
        <f>IFERROR(_xlfn.XLOOKUP(Table1[[#This Row],[region]],Mappings!$C$3:$C$8,Mappings!$D$3:$D$8,,0,1),"Unknown")</f>
        <v>Europe</v>
      </c>
      <c r="J378" t="str">
        <f>IFERROR(_xlfn.XLOOKUP(Table1[[#This Row],[sales_channel]],Table4[Original],Table4[Clean],,0,1),"Unknown")</f>
        <v>Unknown</v>
      </c>
      <c r="K378" t="s">
        <v>15</v>
      </c>
      <c r="L378" t="str">
        <f>IFERROR(_xlfn.XLOOKUP(Table1[[#This Row],[product]],Table3[Original],Table3[Product_clean],,0,1),"Unknown")</f>
        <v>Tablet</v>
      </c>
      <c r="M378" s="6">
        <v>3</v>
      </c>
      <c r="N378">
        <f>IF(ISNUMBER(Table1[[#This Row],[quantity]]),Table1[[#This Row],[quantity]],IFERROR(VLOOKUP(Table1[[#This Row],[quantity]],Table5[#All],2,FALSE),"Unknown"))</f>
        <v>3</v>
      </c>
      <c r="O378" t="s">
        <v>872</v>
      </c>
      <c r="P378">
        <f>IFERROR(VALUE(SUBSTITUTE(SUBSTITUTE(SUBSTITUTE(Table1[[#This Row],[revenue]],"EUR",""),"$",""),".",",")),"")</f>
        <v>1630.17</v>
      </c>
      <c r="Q378" t="s">
        <v>17</v>
      </c>
      <c r="R378" t="str">
        <f>IF(OR(Table1[[#This Row],[currency]]="EUR",Table1[[#This Row],[currency]]="€"),"EUR",IF(OR(Table1[[#This Row],[currency]]="USD",Table1[[#This Row],[currency]]="$"),"USD","Unknown"))</f>
        <v>EUR</v>
      </c>
      <c r="S378" t="s">
        <v>18</v>
      </c>
      <c r="T378" t="str">
        <f>IFERROR(_xlfn.XLOOKUP(Table1[[#This Row],[order_status]],Table8[Original],Table8[Clean],,0,1),"Unknown")</f>
        <v>Pending</v>
      </c>
      <c r="U378">
        <v>2</v>
      </c>
      <c r="V378">
        <f>IF(ISNUMBER(Table1[[#This Row],[delivery_days]]),Table1[[#This Row],[delivery_days]],IFERROR(_xlfn.XLOOKUP(Table1[[#This Row],[delivery_days]],Table57[Original],Table57[Clean],,0,1),"Unknown"))</f>
        <v>2</v>
      </c>
    </row>
    <row r="379" spans="1:23" x14ac:dyDescent="0.3">
      <c r="A379">
        <v>1377</v>
      </c>
      <c r="B379" t="str">
        <f>IF(ISBLANK(Table1[[#This Row],[order_id]]),"",IF(LEFT(Table1[[#This Row],[order_id]],3)="ORD",Table1[[#This Row],[order_id]],"ORD-" &amp; Table1[[#This Row],[order_id]]))</f>
        <v>ORD-1377</v>
      </c>
      <c r="C379" t="s">
        <v>873</v>
      </c>
      <c r="D379" s="1">
        <f>IFERROR(DATEVALUE(Table1[[#This Row],[order_date]]),"")</f>
        <v>45452</v>
      </c>
      <c r="F379" t="str">
        <f>IF(ISBLANK(Table1[[#This Row],[customer_name]]),"Unknown Customer",PROPER(SUBSTITUTE(Table1[[#This Row],[customer_name]],"Cust.","Customer")))</f>
        <v>Unknown Customer</v>
      </c>
      <c r="H379" t="str">
        <f>IFERROR(_xlfn.XLOOKUP(Table1[[#This Row],[region]],Mappings!$C$3:$C$8,Mappings!$D$3:$D$8,,0,1),"Unknown")</f>
        <v>Unknown</v>
      </c>
      <c r="I379" t="s">
        <v>27</v>
      </c>
      <c r="J379" t="str">
        <f>IFERROR(_xlfn.XLOOKUP(Table1[[#This Row],[sales_channel]],Table4[Original],Table4[Clean],,0,1),"Unknown")</f>
        <v>Online</v>
      </c>
      <c r="K379" t="s">
        <v>28</v>
      </c>
      <c r="L379" t="str">
        <f>IFERROR(_xlfn.XLOOKUP(Table1[[#This Row],[product]],Table3[Original],Table3[Product_clean],,0,1),"Unknown")</f>
        <v>Laptop</v>
      </c>
      <c r="M379" s="6">
        <v>2</v>
      </c>
      <c r="N379">
        <f>IF(ISNUMBER(Table1[[#This Row],[quantity]]),Table1[[#This Row],[quantity]],IFERROR(VLOOKUP(Table1[[#This Row],[quantity]],Table5[#All],2,FALSE),"Unknown"))</f>
        <v>2</v>
      </c>
      <c r="O379" t="s">
        <v>874</v>
      </c>
      <c r="P379">
        <f>IFERROR(VALUE(SUBSTITUTE(SUBSTITUTE(SUBSTITUTE(Table1[[#This Row],[revenue]],"EUR",""),"$",""),".",",")),"")</f>
        <v>1092.94</v>
      </c>
      <c r="Q379" t="s">
        <v>55</v>
      </c>
      <c r="R379" t="str">
        <f>IF(OR(Table1[[#This Row],[currency]]="EUR",Table1[[#This Row],[currency]]="€"),"EUR",IF(OR(Table1[[#This Row],[currency]]="USD",Table1[[#This Row],[currency]]="$"),"USD","Unknown"))</f>
        <v>EUR</v>
      </c>
      <c r="S379" t="s">
        <v>23</v>
      </c>
      <c r="T379" t="str">
        <f>IFERROR(_xlfn.XLOOKUP(Table1[[#This Row],[order_status]],Table8[Original],Table8[Clean],,0,1),"Unknown")</f>
        <v>Delivered</v>
      </c>
      <c r="U379">
        <v>2</v>
      </c>
      <c r="V379">
        <f>IF(ISNUMBER(Table1[[#This Row],[delivery_days]]),Table1[[#This Row],[delivery_days]],IFERROR(_xlfn.XLOOKUP(Table1[[#This Row],[delivery_days]],Table57[Original],Table57[Clean],,0,1),"Unknown"))</f>
        <v>2</v>
      </c>
      <c r="W379" t="s">
        <v>37</v>
      </c>
    </row>
    <row r="380" spans="1:23" x14ac:dyDescent="0.3">
      <c r="A380">
        <v>1378</v>
      </c>
      <c r="B380" t="str">
        <f>IF(ISBLANK(Table1[[#This Row],[order_id]]),"",IF(LEFT(Table1[[#This Row],[order_id]],3)="ORD",Table1[[#This Row],[order_id]],"ORD-" &amp; Table1[[#This Row],[order_id]]))</f>
        <v>ORD-1378</v>
      </c>
      <c r="C380" t="s">
        <v>643</v>
      </c>
      <c r="D380" s="1">
        <f>IFERROR(DATEVALUE(Table1[[#This Row],[order_date]]),"")</f>
        <v>45419</v>
      </c>
      <c r="E380" t="s">
        <v>875</v>
      </c>
      <c r="F380" t="str">
        <f>IF(ISBLANK(Table1[[#This Row],[customer_name]]),"Unknown Customer",PROPER(SUBSTITUTE(Table1[[#This Row],[customer_name]],"Cust.","Customer")))</f>
        <v>Customer 378</v>
      </c>
      <c r="G380" t="s">
        <v>73</v>
      </c>
      <c r="H380" t="str">
        <f>IFERROR(_xlfn.XLOOKUP(Table1[[#This Row],[region]],Mappings!$C$3:$C$8,Mappings!$D$3:$D$8,,0,1),"Unknown")</f>
        <v>Europe</v>
      </c>
      <c r="J380" t="str">
        <f>IFERROR(_xlfn.XLOOKUP(Table1[[#This Row],[sales_channel]],Table4[Original],Table4[Clean],,0,1),"Unknown")</f>
        <v>Unknown</v>
      </c>
      <c r="K380" t="s">
        <v>15</v>
      </c>
      <c r="L380" t="str">
        <f>IFERROR(_xlfn.XLOOKUP(Table1[[#This Row],[product]],Table3[Original],Table3[Product_clean],,0,1),"Unknown")</f>
        <v>Tablet</v>
      </c>
      <c r="M380" s="6" t="s">
        <v>83</v>
      </c>
      <c r="N380">
        <f>IF(ISNUMBER(Table1[[#This Row],[quantity]]),Table1[[#This Row],[quantity]],IFERROR(VLOOKUP(Table1[[#This Row],[quantity]],Table5[#All],2,FALSE),"Unknown"))</f>
        <v>2</v>
      </c>
      <c r="O380" t="s">
        <v>876</v>
      </c>
      <c r="P380">
        <f>IFERROR(VALUE(SUBSTITUTE(SUBSTITUTE(SUBSTITUTE(Table1[[#This Row],[revenue]],"EUR",""),"$",""),".",",")),"")</f>
        <v>2517.19</v>
      </c>
      <c r="R380" t="str">
        <f>IF(OR(Table1[[#This Row],[currency]]="EUR",Table1[[#This Row],[currency]]="€"),"EUR",IF(OR(Table1[[#This Row],[currency]]="USD",Table1[[#This Row],[currency]]="$"),"USD","Unknown"))</f>
        <v>Unknown</v>
      </c>
      <c r="S380" t="s">
        <v>30</v>
      </c>
      <c r="T380" t="str">
        <f>IFERROR(_xlfn.XLOOKUP(Table1[[#This Row],[order_status]],Table8[Original],Table8[Clean],,0,1),"Unknown")</f>
        <v>Delivered</v>
      </c>
      <c r="U380" t="s">
        <v>36</v>
      </c>
      <c r="V380">
        <f>IF(ISNUMBER(Table1[[#This Row],[delivery_days]]),Table1[[#This Row],[delivery_days]],IFERROR(_xlfn.XLOOKUP(Table1[[#This Row],[delivery_days]],Table57[Original],Table57[Clean],,0,1),"Unknown"))</f>
        <v>5</v>
      </c>
    </row>
    <row r="381" spans="1:23" x14ac:dyDescent="0.3">
      <c r="A381" t="s">
        <v>877</v>
      </c>
      <c r="B381" t="str">
        <f>IF(ISBLANK(Table1[[#This Row],[order_id]]),"",IF(LEFT(Table1[[#This Row],[order_id]],3)="ORD",Table1[[#This Row],[order_id]],"ORD-" &amp; Table1[[#This Row],[order_id]]))</f>
        <v>ORD-1379</v>
      </c>
      <c r="C381" t="s">
        <v>878</v>
      </c>
      <c r="D381" s="1">
        <f>IFERROR(DATEVALUE(Table1[[#This Row],[order_date]]),"")</f>
        <v>45360</v>
      </c>
      <c r="F381" t="str">
        <f>IF(ISBLANK(Table1[[#This Row],[customer_name]]),"Unknown Customer",PROPER(SUBSTITUTE(Table1[[#This Row],[customer_name]],"Cust.","Customer")))</f>
        <v>Unknown Customer</v>
      </c>
      <c r="G381" t="s">
        <v>54</v>
      </c>
      <c r="H381" t="str">
        <f>IFERROR(_xlfn.XLOOKUP(Table1[[#This Row],[region]],Mappings!$C$3:$C$8,Mappings!$D$3:$D$8,,0,1),"Unknown")</f>
        <v>USA</v>
      </c>
      <c r="I381" t="s">
        <v>68</v>
      </c>
      <c r="J381" t="str">
        <f>IFERROR(_xlfn.XLOOKUP(Table1[[#This Row],[sales_channel]],Table4[Original],Table4[Clean],,0,1),"Unknown")</f>
        <v>Online</v>
      </c>
      <c r="K381" t="s">
        <v>102</v>
      </c>
      <c r="L381" t="str">
        <f>IFERROR(_xlfn.XLOOKUP(Table1[[#This Row],[product]],Table3[Original],Table3[Product_clean],,0,1),"Unknown")</f>
        <v>Phone</v>
      </c>
      <c r="M381" s="6" t="s">
        <v>83</v>
      </c>
      <c r="N381">
        <f>IF(ISNUMBER(Table1[[#This Row],[quantity]]),Table1[[#This Row],[quantity]],IFERROR(VLOOKUP(Table1[[#This Row],[quantity]],Table5[#All],2,FALSE),"Unknown"))</f>
        <v>2</v>
      </c>
      <c r="O381" t="s">
        <v>879</v>
      </c>
      <c r="P381">
        <f>IFERROR(VALUE(SUBSTITUTE(SUBSTITUTE(SUBSTITUTE(Table1[[#This Row],[revenue]],"EUR",""),"$",""),".",",")),"")</f>
        <v>1145.03</v>
      </c>
      <c r="Q381" t="s">
        <v>58</v>
      </c>
      <c r="R381" t="str">
        <f>IF(OR(Table1[[#This Row],[currency]]="EUR",Table1[[#This Row],[currency]]="€"),"EUR",IF(OR(Table1[[#This Row],[currency]]="USD",Table1[[#This Row],[currency]]="$"),"USD","Unknown"))</f>
        <v>USD</v>
      </c>
      <c r="S381" t="s">
        <v>18</v>
      </c>
      <c r="T381" t="str">
        <f>IFERROR(_xlfn.XLOOKUP(Table1[[#This Row],[order_status]],Table8[Original],Table8[Clean],,0,1),"Unknown")</f>
        <v>Pending</v>
      </c>
      <c r="U381">
        <v>2</v>
      </c>
      <c r="V381">
        <f>IF(ISNUMBER(Table1[[#This Row],[delivery_days]]),Table1[[#This Row],[delivery_days]],IFERROR(_xlfn.XLOOKUP(Table1[[#This Row],[delivery_days]],Table57[Original],Table57[Clean],,0,1),"Unknown"))</f>
        <v>2</v>
      </c>
    </row>
    <row r="382" spans="1:23" x14ac:dyDescent="0.3">
      <c r="B382" t="str">
        <f>IF(ISBLANK(Table1[[#This Row],[order_id]]),"",IF(LEFT(Table1[[#This Row],[order_id]],3)="ORD",Table1[[#This Row],[order_id]],"ORD-" &amp; Table1[[#This Row],[order_id]]))</f>
        <v/>
      </c>
      <c r="C382" t="s">
        <v>880</v>
      </c>
      <c r="D382" s="1">
        <f>IFERROR(DATEVALUE(Table1[[#This Row],[order_date]]),"")</f>
        <v>45561</v>
      </c>
      <c r="E382" t="s">
        <v>881</v>
      </c>
      <c r="F382" t="str">
        <f>IF(ISBLANK(Table1[[#This Row],[customer_name]]),"Unknown Customer",PROPER(SUBSTITUTE(Table1[[#This Row],[customer_name]],"Cust.","Customer")))</f>
        <v>Customer 380</v>
      </c>
      <c r="G382" t="s">
        <v>32</v>
      </c>
      <c r="H382" t="str">
        <f>IFERROR(_xlfn.XLOOKUP(Table1[[#This Row],[region]],Mappings!$C$3:$C$8,Mappings!$D$3:$D$8,,0,1),"Unknown")</f>
        <v>Europe</v>
      </c>
      <c r="J382" t="str">
        <f>IFERROR(_xlfn.XLOOKUP(Table1[[#This Row],[sales_channel]],Table4[Original],Table4[Clean],,0,1),"Unknown")</f>
        <v>Unknown</v>
      </c>
      <c r="L382" t="str">
        <f>IFERROR(_xlfn.XLOOKUP(Table1[[#This Row],[product]],Table3[Original],Table3[Product_clean],,0,1),"Unknown")</f>
        <v>Unknown</v>
      </c>
      <c r="M382" s="6">
        <v>2</v>
      </c>
      <c r="N382">
        <f>IF(ISNUMBER(Table1[[#This Row],[quantity]]),Table1[[#This Row],[quantity]],IFERROR(VLOOKUP(Table1[[#This Row],[quantity]],Table5[#All],2,FALSE),"Unknown"))</f>
        <v>2</v>
      </c>
      <c r="P382" t="str">
        <f>IFERROR(VALUE(SUBSTITUTE(SUBSTITUTE(SUBSTITUTE(Table1[[#This Row],[revenue]],"EUR",""),"$",""),".",",")),"")</f>
        <v/>
      </c>
      <c r="Q382" t="s">
        <v>22</v>
      </c>
      <c r="R382" t="str">
        <f>IF(OR(Table1[[#This Row],[currency]]="EUR",Table1[[#This Row],[currency]]="€"),"EUR",IF(OR(Table1[[#This Row],[currency]]="USD",Table1[[#This Row],[currency]]="$"),"USD","Unknown"))</f>
        <v>USD</v>
      </c>
      <c r="S382" t="s">
        <v>30</v>
      </c>
      <c r="T382" t="str">
        <f>IFERROR(_xlfn.XLOOKUP(Table1[[#This Row],[order_status]],Table8[Original],Table8[Clean],,0,1),"Unknown")</f>
        <v>Delivered</v>
      </c>
      <c r="V382" t="str">
        <f>IF(ISNUMBER(Table1[[#This Row],[delivery_days]]),Table1[[#This Row],[delivery_days]],IFERROR(_xlfn.XLOOKUP(Table1[[#This Row],[delivery_days]],Table57[Original],Table57[Clean],,0,1),"Unknown"))</f>
        <v>Unknown</v>
      </c>
    </row>
    <row r="383" spans="1:23" x14ac:dyDescent="0.3">
      <c r="B383" t="str">
        <f>IF(ISBLANK(Table1[[#This Row],[order_id]]),"",IF(LEFT(Table1[[#This Row],[order_id]],3)="ORD",Table1[[#This Row],[order_id]],"ORD-" &amp; Table1[[#This Row],[order_id]]))</f>
        <v/>
      </c>
      <c r="C383" t="s">
        <v>882</v>
      </c>
      <c r="D383" s="1">
        <f>IFERROR(DATEVALUE(Table1[[#This Row],[order_date]]),"")</f>
        <v>45453</v>
      </c>
      <c r="F383" t="str">
        <f>IF(ISBLANK(Table1[[#This Row],[customer_name]]),"Unknown Customer",PROPER(SUBSTITUTE(Table1[[#This Row],[customer_name]],"Cust.","Customer")))</f>
        <v>Unknown Customer</v>
      </c>
      <c r="G383" t="s">
        <v>45</v>
      </c>
      <c r="H383" t="str">
        <f>IFERROR(_xlfn.XLOOKUP(Table1[[#This Row],[region]],Mappings!$C$3:$C$8,Mappings!$D$3:$D$8,,0,1),"Unknown")</f>
        <v>USA</v>
      </c>
      <c r="I383" t="s">
        <v>14</v>
      </c>
      <c r="J383" t="str">
        <f>IFERROR(_xlfn.XLOOKUP(Table1[[#This Row],[sales_channel]],Table4[Original],Table4[Clean],,0,1),"Unknown")</f>
        <v>Online</v>
      </c>
      <c r="K383" t="s">
        <v>102</v>
      </c>
      <c r="L383" t="str">
        <f>IFERROR(_xlfn.XLOOKUP(Table1[[#This Row],[product]],Table3[Original],Table3[Product_clean],,0,1),"Unknown")</f>
        <v>Phone</v>
      </c>
      <c r="M383" s="6">
        <v>3</v>
      </c>
      <c r="N383">
        <f>IF(ISNUMBER(Table1[[#This Row],[quantity]]),Table1[[#This Row],[quantity]],IFERROR(VLOOKUP(Table1[[#This Row],[quantity]],Table5[#All],2,FALSE),"Unknown"))</f>
        <v>3</v>
      </c>
      <c r="O383">
        <v>2083.17</v>
      </c>
      <c r="P383">
        <f>IFERROR(VALUE(SUBSTITUTE(SUBSTITUTE(SUBSTITUTE(Table1[[#This Row],[revenue]],"EUR",""),"$",""),".",",")),"")</f>
        <v>2083.17</v>
      </c>
      <c r="R383" t="str">
        <f>IF(OR(Table1[[#This Row],[currency]]="EUR",Table1[[#This Row],[currency]]="€"),"EUR",IF(OR(Table1[[#This Row],[currency]]="USD",Table1[[#This Row],[currency]]="$"),"USD","Unknown"))</f>
        <v>Unknown</v>
      </c>
      <c r="S383" t="s">
        <v>35</v>
      </c>
      <c r="T383" t="str">
        <f>IFERROR(_xlfn.XLOOKUP(Table1[[#This Row],[order_status]],Table8[Original],Table8[Clean],,0,1),"Unknown")</f>
        <v>Returned</v>
      </c>
      <c r="U383">
        <v>2</v>
      </c>
      <c r="V383">
        <f>IF(ISNUMBER(Table1[[#This Row],[delivery_days]]),Table1[[#This Row],[delivery_days]],IFERROR(_xlfn.XLOOKUP(Table1[[#This Row],[delivery_days]],Table57[Original],Table57[Clean],,0,1),"Unknown"))</f>
        <v>2</v>
      </c>
      <c r="W383" t="s">
        <v>24</v>
      </c>
    </row>
    <row r="384" spans="1:23" x14ac:dyDescent="0.3">
      <c r="A384" t="s">
        <v>883</v>
      </c>
      <c r="B384" t="str">
        <f>IF(ISBLANK(Table1[[#This Row],[order_id]]),"",IF(LEFT(Table1[[#This Row],[order_id]],3)="ORD",Table1[[#This Row],[order_id]],"ORD-" &amp; Table1[[#This Row],[order_id]]))</f>
        <v>ORD-1382</v>
      </c>
      <c r="C384" t="s">
        <v>447</v>
      </c>
      <c r="D384" s="1">
        <f>IFERROR(DATEVALUE(Table1[[#This Row],[order_date]]),"")</f>
        <v>45413</v>
      </c>
      <c r="F384" t="str">
        <f>IF(ISBLANK(Table1[[#This Row],[customer_name]]),"Unknown Customer",PROPER(SUBSTITUTE(Table1[[#This Row],[customer_name]],"Cust.","Customer")))</f>
        <v>Unknown Customer</v>
      </c>
      <c r="G384" t="s">
        <v>32</v>
      </c>
      <c r="H384" t="str">
        <f>IFERROR(_xlfn.XLOOKUP(Table1[[#This Row],[region]],Mappings!$C$3:$C$8,Mappings!$D$3:$D$8,,0,1),"Unknown")</f>
        <v>Europe</v>
      </c>
      <c r="I384" t="s">
        <v>27</v>
      </c>
      <c r="J384" t="str">
        <f>IFERROR(_xlfn.XLOOKUP(Table1[[#This Row],[sales_channel]],Table4[Original],Table4[Clean],,0,1),"Unknown")</f>
        <v>Online</v>
      </c>
      <c r="K384" t="s">
        <v>41</v>
      </c>
      <c r="L384" t="str">
        <f>IFERROR(_xlfn.XLOOKUP(Table1[[#This Row],[product]],Table3[Original],Table3[Product_clean],,0,1),"Unknown")</f>
        <v>Phone</v>
      </c>
      <c r="M384" s="6">
        <v>3</v>
      </c>
      <c r="N384">
        <f>IF(ISNUMBER(Table1[[#This Row],[quantity]]),Table1[[#This Row],[quantity]],IFERROR(VLOOKUP(Table1[[#This Row],[quantity]],Table5[#All],2,FALSE),"Unknown"))</f>
        <v>3</v>
      </c>
      <c r="O384" t="s">
        <v>884</v>
      </c>
      <c r="P384">
        <f>IFERROR(VALUE(SUBSTITUTE(SUBSTITUTE(SUBSTITUTE(Table1[[#This Row],[revenue]],"EUR",""),"$",""),".",",")),"")</f>
        <v>844.75</v>
      </c>
      <c r="Q384" t="s">
        <v>55</v>
      </c>
      <c r="R384" t="str">
        <f>IF(OR(Table1[[#This Row],[currency]]="EUR",Table1[[#This Row],[currency]]="€"),"EUR",IF(OR(Table1[[#This Row],[currency]]="USD",Table1[[#This Row],[currency]]="$"),"USD","Unknown"))</f>
        <v>EUR</v>
      </c>
      <c r="S384" t="s">
        <v>47</v>
      </c>
      <c r="T384" t="str">
        <f>IFERROR(_xlfn.XLOOKUP(Table1[[#This Row],[order_status]],Table8[Original],Table8[Clean],,0,1),"Unknown")</f>
        <v>Returned</v>
      </c>
      <c r="U384">
        <v>3</v>
      </c>
      <c r="V384">
        <f>IF(ISNUMBER(Table1[[#This Row],[delivery_days]]),Table1[[#This Row],[delivery_days]],IFERROR(_xlfn.XLOOKUP(Table1[[#This Row],[delivery_days]],Table57[Original],Table57[Clean],,0,1),"Unknown"))</f>
        <v>3</v>
      </c>
    </row>
    <row r="385" spans="1:23" x14ac:dyDescent="0.3">
      <c r="A385">
        <v>1383</v>
      </c>
      <c r="B385" t="str">
        <f>IF(ISBLANK(Table1[[#This Row],[order_id]]),"",IF(LEFT(Table1[[#This Row],[order_id]],3)="ORD",Table1[[#This Row],[order_id]],"ORD-" &amp; Table1[[#This Row],[order_id]]))</f>
        <v>ORD-1383</v>
      </c>
      <c r="C385" t="s">
        <v>885</v>
      </c>
      <c r="D385" s="1">
        <f>IFERROR(DATEVALUE(Table1[[#This Row],[order_date]]),"")</f>
        <v>45326</v>
      </c>
      <c r="E385" t="s">
        <v>886</v>
      </c>
      <c r="F385" t="str">
        <f>IF(ISBLANK(Table1[[#This Row],[customer_name]]),"Unknown Customer",PROPER(SUBSTITUTE(Table1[[#This Row],[customer_name]],"Cust.","Customer")))</f>
        <v>Customer 383</v>
      </c>
      <c r="G385" t="s">
        <v>45</v>
      </c>
      <c r="H385" t="str">
        <f>IFERROR(_xlfn.XLOOKUP(Table1[[#This Row],[region]],Mappings!$C$3:$C$8,Mappings!$D$3:$D$8,,0,1),"Unknown")</f>
        <v>USA</v>
      </c>
      <c r="I385" t="s">
        <v>78</v>
      </c>
      <c r="J385" t="str">
        <f>IFERROR(_xlfn.XLOOKUP(Table1[[#This Row],[sales_channel]],Table4[Original],Table4[Clean],,0,1),"Unknown")</f>
        <v>Mobile</v>
      </c>
      <c r="L385" t="str">
        <f>IFERROR(_xlfn.XLOOKUP(Table1[[#This Row],[product]],Table3[Original],Table3[Product_clean],,0,1),"Unknown")</f>
        <v>Unknown</v>
      </c>
      <c r="M385" s="6" t="s">
        <v>83</v>
      </c>
      <c r="N385">
        <f>IF(ISNUMBER(Table1[[#This Row],[quantity]]),Table1[[#This Row],[quantity]],IFERROR(VLOOKUP(Table1[[#This Row],[quantity]],Table5[#All],2,FALSE),"Unknown"))</f>
        <v>2</v>
      </c>
      <c r="O385" t="s">
        <v>887</v>
      </c>
      <c r="P385">
        <f>IFERROR(VALUE(SUBSTITUTE(SUBSTITUTE(SUBSTITUTE(Table1[[#This Row],[revenue]],"EUR",""),"$",""),".",",")),"")</f>
        <v>1735.66</v>
      </c>
      <c r="Q385" t="s">
        <v>58</v>
      </c>
      <c r="R385" t="str">
        <f>IF(OR(Table1[[#This Row],[currency]]="EUR",Table1[[#This Row],[currency]]="€"),"EUR",IF(OR(Table1[[#This Row],[currency]]="USD",Table1[[#This Row],[currency]]="$"),"USD","Unknown"))</f>
        <v>USD</v>
      </c>
      <c r="S385" t="s">
        <v>23</v>
      </c>
      <c r="T385" t="str">
        <f>IFERROR(_xlfn.XLOOKUP(Table1[[#This Row],[order_status]],Table8[Original],Table8[Clean],,0,1),"Unknown")</f>
        <v>Delivered</v>
      </c>
      <c r="V385" t="str">
        <f>IF(ISNUMBER(Table1[[#This Row],[delivery_days]]),Table1[[#This Row],[delivery_days]],IFERROR(_xlfn.XLOOKUP(Table1[[#This Row],[delivery_days]],Table57[Original],Table57[Clean],,0,1),"Unknown"))</f>
        <v>Unknown</v>
      </c>
      <c r="W385" t="s">
        <v>37</v>
      </c>
    </row>
    <row r="386" spans="1:23" x14ac:dyDescent="0.3">
      <c r="A386" t="s">
        <v>888</v>
      </c>
      <c r="B386" t="str">
        <f>IF(ISBLANK(Table1[[#This Row],[order_id]]),"",IF(LEFT(Table1[[#This Row],[order_id]],3)="ORD",Table1[[#This Row],[order_id]],"ORD-" &amp; Table1[[#This Row],[order_id]]))</f>
        <v>ORD-1384</v>
      </c>
      <c r="D386" s="1" t="str">
        <f>IFERROR(DATEVALUE(Table1[[#This Row],[order_date]]),"")</f>
        <v/>
      </c>
      <c r="E386" t="s">
        <v>889</v>
      </c>
      <c r="F386" t="str">
        <f>IF(ISBLANK(Table1[[#This Row],[customer_name]]),"Unknown Customer",PROPER(SUBSTITUTE(Table1[[#This Row],[customer_name]],"Cust.","Customer")))</f>
        <v>Customer 384</v>
      </c>
      <c r="H386" t="str">
        <f>IFERROR(_xlfn.XLOOKUP(Table1[[#This Row],[region]],Mappings!$C$3:$C$8,Mappings!$D$3:$D$8,,0,1),"Unknown")</f>
        <v>Unknown</v>
      </c>
      <c r="J386" t="str">
        <f>IFERROR(_xlfn.XLOOKUP(Table1[[#This Row],[sales_channel]],Table4[Original],Table4[Clean],,0,1),"Unknown")</f>
        <v>Unknown</v>
      </c>
      <c r="K386" t="s">
        <v>33</v>
      </c>
      <c r="L386" t="str">
        <f>IFERROR(_xlfn.XLOOKUP(Table1[[#This Row],[product]],Table3[Original],Table3[Product_clean],,0,1),"Unknown")</f>
        <v>Tablet</v>
      </c>
      <c r="M386" s="6"/>
      <c r="N386" t="str">
        <f>IF(ISNUMBER(Table1[[#This Row],[quantity]]),Table1[[#This Row],[quantity]],IFERROR(VLOOKUP(Table1[[#This Row],[quantity]],Table5[#All],2,FALSE),"Unknown"))</f>
        <v>Unknown</v>
      </c>
      <c r="O386" t="s">
        <v>890</v>
      </c>
      <c r="P386">
        <f>IFERROR(VALUE(SUBSTITUTE(SUBSTITUTE(SUBSTITUTE(Table1[[#This Row],[revenue]],"EUR",""),"$",""),".",",")),"")</f>
        <v>2426.7199999999998</v>
      </c>
      <c r="Q386" t="s">
        <v>55</v>
      </c>
      <c r="R386" t="str">
        <f>IF(OR(Table1[[#This Row],[currency]]="EUR",Table1[[#This Row],[currency]]="€"),"EUR",IF(OR(Table1[[#This Row],[currency]]="USD",Table1[[#This Row],[currency]]="$"),"USD","Unknown"))</f>
        <v>EUR</v>
      </c>
      <c r="S386" t="s">
        <v>47</v>
      </c>
      <c r="T386" t="str">
        <f>IFERROR(_xlfn.XLOOKUP(Table1[[#This Row],[order_status]],Table8[Original],Table8[Clean],,0,1),"Unknown")</f>
        <v>Returned</v>
      </c>
      <c r="U386">
        <v>3</v>
      </c>
      <c r="V386">
        <f>IF(ISNUMBER(Table1[[#This Row],[delivery_days]]),Table1[[#This Row],[delivery_days]],IFERROR(_xlfn.XLOOKUP(Table1[[#This Row],[delivery_days]],Table57[Original],Table57[Clean],,0,1),"Unknown"))</f>
        <v>3</v>
      </c>
      <c r="W386" t="s">
        <v>24</v>
      </c>
    </row>
    <row r="387" spans="1:23" x14ac:dyDescent="0.3">
      <c r="A387" t="s">
        <v>891</v>
      </c>
      <c r="B387" t="str">
        <f>IF(ISBLANK(Table1[[#This Row],[order_id]]),"",IF(LEFT(Table1[[#This Row],[order_id]],3)="ORD",Table1[[#This Row],[order_id]],"ORD-" &amp; Table1[[#This Row],[order_id]]))</f>
        <v>ORD-1385</v>
      </c>
      <c r="C387" t="s">
        <v>892</v>
      </c>
      <c r="D387" s="1">
        <f>IFERROR(DATEVALUE(Table1[[#This Row],[order_date]]),"")</f>
        <v>45579</v>
      </c>
      <c r="E387" t="s">
        <v>893</v>
      </c>
      <c r="F387" t="str">
        <f>IF(ISBLANK(Table1[[#This Row],[customer_name]]),"Unknown Customer",PROPER(SUBSTITUTE(Table1[[#This Row],[customer_name]],"Cust.","Customer")))</f>
        <v>Customer 385</v>
      </c>
      <c r="G387" t="s">
        <v>73</v>
      </c>
      <c r="H387" t="str">
        <f>IFERROR(_xlfn.XLOOKUP(Table1[[#This Row],[region]],Mappings!$C$3:$C$8,Mappings!$D$3:$D$8,,0,1),"Unknown")</f>
        <v>Europe</v>
      </c>
      <c r="I387" t="s">
        <v>27</v>
      </c>
      <c r="J387" t="str">
        <f>IFERROR(_xlfn.XLOOKUP(Table1[[#This Row],[sales_channel]],Table4[Original],Table4[Clean],,0,1),"Unknown")</f>
        <v>Online</v>
      </c>
      <c r="L387" t="str">
        <f>IFERROR(_xlfn.XLOOKUP(Table1[[#This Row],[product]],Table3[Original],Table3[Product_clean],,0,1),"Unknown")</f>
        <v>Unknown</v>
      </c>
      <c r="M387" s="6">
        <v>3</v>
      </c>
      <c r="N387">
        <f>IF(ISNUMBER(Table1[[#This Row],[quantity]]),Table1[[#This Row],[quantity]],IFERROR(VLOOKUP(Table1[[#This Row],[quantity]],Table5[#All],2,FALSE),"Unknown"))</f>
        <v>3</v>
      </c>
      <c r="O387">
        <v>2582.58</v>
      </c>
      <c r="P387">
        <f>IFERROR(VALUE(SUBSTITUTE(SUBSTITUTE(SUBSTITUTE(Table1[[#This Row],[revenue]],"EUR",""),"$",""),".",",")),"")</f>
        <v>2582.58</v>
      </c>
      <c r="Q387" t="s">
        <v>22</v>
      </c>
      <c r="R387" t="str">
        <f>IF(OR(Table1[[#This Row],[currency]]="EUR",Table1[[#This Row],[currency]]="€"),"EUR",IF(OR(Table1[[#This Row],[currency]]="USD",Table1[[#This Row],[currency]]="$"),"USD","Unknown"))</f>
        <v>USD</v>
      </c>
      <c r="T387" t="str">
        <f>IFERROR(_xlfn.XLOOKUP(Table1[[#This Row],[order_status]],Table8[Original],Table8[Clean],,0,1),"Unknown")</f>
        <v>Unknown</v>
      </c>
      <c r="U387">
        <v>1</v>
      </c>
      <c r="V387">
        <f>IF(ISNUMBER(Table1[[#This Row],[delivery_days]]),Table1[[#This Row],[delivery_days]],IFERROR(_xlfn.XLOOKUP(Table1[[#This Row],[delivery_days]],Table57[Original],Table57[Clean],,0,1),"Unknown"))</f>
        <v>1</v>
      </c>
    </row>
    <row r="388" spans="1:23" x14ac:dyDescent="0.3">
      <c r="A388" t="s">
        <v>894</v>
      </c>
      <c r="B388" t="str">
        <f>IF(ISBLANK(Table1[[#This Row],[order_id]]),"",IF(LEFT(Table1[[#This Row],[order_id]],3)="ORD",Table1[[#This Row],[order_id]],"ORD-" &amp; Table1[[#This Row],[order_id]]))</f>
        <v>ORD-1386</v>
      </c>
      <c r="C388" t="s">
        <v>895</v>
      </c>
      <c r="D388" s="1" t="str">
        <f>IFERROR(DATEVALUE(Table1[[#This Row],[order_date]]),"")</f>
        <v/>
      </c>
      <c r="E388" t="s">
        <v>896</v>
      </c>
      <c r="F388" t="str">
        <f>IF(ISBLANK(Table1[[#This Row],[customer_name]]),"Unknown Customer",PROPER(SUBSTITUTE(Table1[[#This Row],[customer_name]],"Cust.","Customer")))</f>
        <v>Customer 386</v>
      </c>
      <c r="G388" t="s">
        <v>73</v>
      </c>
      <c r="H388" t="str">
        <f>IFERROR(_xlfn.XLOOKUP(Table1[[#This Row],[region]],Mappings!$C$3:$C$8,Mappings!$D$3:$D$8,,0,1),"Unknown")</f>
        <v>Europe</v>
      </c>
      <c r="I388" t="s">
        <v>78</v>
      </c>
      <c r="J388" t="str">
        <f>IFERROR(_xlfn.XLOOKUP(Table1[[#This Row],[sales_channel]],Table4[Original],Table4[Clean],,0,1),"Unknown")</f>
        <v>Mobile</v>
      </c>
      <c r="K388" t="s">
        <v>51</v>
      </c>
      <c r="L388" t="str">
        <f>IFERROR(_xlfn.XLOOKUP(Table1[[#This Row],[product]],Table3[Original],Table3[Product_clean],,0,1),"Unknown")</f>
        <v>Laptop</v>
      </c>
      <c r="M388" s="6">
        <v>3</v>
      </c>
      <c r="N388">
        <f>IF(ISNUMBER(Table1[[#This Row],[quantity]]),Table1[[#This Row],[quantity]],IFERROR(VLOOKUP(Table1[[#This Row],[quantity]],Table5[#All],2,FALSE),"Unknown"))</f>
        <v>3</v>
      </c>
      <c r="O388" t="s">
        <v>897</v>
      </c>
      <c r="P388">
        <f>IFERROR(VALUE(SUBSTITUTE(SUBSTITUTE(SUBSTITUTE(Table1[[#This Row],[revenue]],"EUR",""),"$",""),".",",")),"")</f>
        <v>1037.24</v>
      </c>
      <c r="R388" t="str">
        <f>IF(OR(Table1[[#This Row],[currency]]="EUR",Table1[[#This Row],[currency]]="€"),"EUR",IF(OR(Table1[[#This Row],[currency]]="USD",Table1[[#This Row],[currency]]="$"),"USD","Unknown"))</f>
        <v>Unknown</v>
      </c>
      <c r="S388" t="s">
        <v>23</v>
      </c>
      <c r="T388" t="str">
        <f>IFERROR(_xlfn.XLOOKUP(Table1[[#This Row],[order_status]],Table8[Original],Table8[Clean],,0,1),"Unknown")</f>
        <v>Delivered</v>
      </c>
      <c r="U388" t="s">
        <v>36</v>
      </c>
      <c r="V388">
        <f>IF(ISNUMBER(Table1[[#This Row],[delivery_days]]),Table1[[#This Row],[delivery_days]],IFERROR(_xlfn.XLOOKUP(Table1[[#This Row],[delivery_days]],Table57[Original],Table57[Clean],,0,1),"Unknown"))</f>
        <v>5</v>
      </c>
      <c r="W388" t="s">
        <v>37</v>
      </c>
    </row>
    <row r="389" spans="1:23" x14ac:dyDescent="0.3">
      <c r="B389" t="str">
        <f>IF(ISBLANK(Table1[[#This Row],[order_id]]),"",IF(LEFT(Table1[[#This Row],[order_id]],3)="ORD",Table1[[#This Row],[order_id]],"ORD-" &amp; Table1[[#This Row],[order_id]]))</f>
        <v/>
      </c>
      <c r="D389" s="1" t="str">
        <f>IFERROR(DATEVALUE(Table1[[#This Row],[order_date]]),"")</f>
        <v/>
      </c>
      <c r="F389" t="str">
        <f>IF(ISBLANK(Table1[[#This Row],[customer_name]]),"Unknown Customer",PROPER(SUBSTITUTE(Table1[[#This Row],[customer_name]],"Cust.","Customer")))</f>
        <v>Unknown Customer</v>
      </c>
      <c r="G389" t="s">
        <v>73</v>
      </c>
      <c r="H389" t="str">
        <f>IFERROR(_xlfn.XLOOKUP(Table1[[#This Row],[region]],Mappings!$C$3:$C$8,Mappings!$D$3:$D$8,,0,1),"Unknown")</f>
        <v>Europe</v>
      </c>
      <c r="I389" t="s">
        <v>78</v>
      </c>
      <c r="J389" t="str">
        <f>IFERROR(_xlfn.XLOOKUP(Table1[[#This Row],[sales_channel]],Table4[Original],Table4[Clean],,0,1),"Unknown")</f>
        <v>Mobile</v>
      </c>
      <c r="K389" t="s">
        <v>33</v>
      </c>
      <c r="L389" t="str">
        <f>IFERROR(_xlfn.XLOOKUP(Table1[[#This Row],[product]],Table3[Original],Table3[Product_clean],,0,1),"Unknown")</f>
        <v>Tablet</v>
      </c>
      <c r="M389" s="6">
        <v>3</v>
      </c>
      <c r="N389">
        <f>IF(ISNUMBER(Table1[[#This Row],[quantity]]),Table1[[#This Row],[quantity]],IFERROR(VLOOKUP(Table1[[#This Row],[quantity]],Table5[#All],2,FALSE),"Unknown"))</f>
        <v>3</v>
      </c>
      <c r="O389" t="s">
        <v>898</v>
      </c>
      <c r="P389">
        <f>IFERROR(VALUE(SUBSTITUTE(SUBSTITUTE(SUBSTITUTE(Table1[[#This Row],[revenue]],"EUR",""),"$",""),".",",")),"")</f>
        <v>889.6</v>
      </c>
      <c r="Q389" t="s">
        <v>22</v>
      </c>
      <c r="R389" t="str">
        <f>IF(OR(Table1[[#This Row],[currency]]="EUR",Table1[[#This Row],[currency]]="€"),"EUR",IF(OR(Table1[[#This Row],[currency]]="USD",Table1[[#This Row],[currency]]="$"),"USD","Unknown"))</f>
        <v>USD</v>
      </c>
      <c r="T389" t="str">
        <f>IFERROR(_xlfn.XLOOKUP(Table1[[#This Row],[order_status]],Table8[Original],Table8[Clean],,0,1),"Unknown")</f>
        <v>Unknown</v>
      </c>
      <c r="U389">
        <v>2</v>
      </c>
      <c r="V389">
        <f>IF(ISNUMBER(Table1[[#This Row],[delivery_days]]),Table1[[#This Row],[delivery_days]],IFERROR(_xlfn.XLOOKUP(Table1[[#This Row],[delivery_days]],Table57[Original],Table57[Clean],,0,1),"Unknown"))</f>
        <v>2</v>
      </c>
      <c r="W389" t="s">
        <v>37</v>
      </c>
    </row>
    <row r="390" spans="1:23" x14ac:dyDescent="0.3">
      <c r="A390" t="s">
        <v>899</v>
      </c>
      <c r="B390" t="str">
        <f>IF(ISBLANK(Table1[[#This Row],[order_id]]),"",IF(LEFT(Table1[[#This Row],[order_id]],3)="ORD",Table1[[#This Row],[order_id]],"ORD-" &amp; Table1[[#This Row],[order_id]]))</f>
        <v>ORD-1388</v>
      </c>
      <c r="D390" s="1" t="str">
        <f>IFERROR(DATEVALUE(Table1[[#This Row],[order_date]]),"")</f>
        <v/>
      </c>
      <c r="E390" t="s">
        <v>900</v>
      </c>
      <c r="F390" t="str">
        <f>IF(ISBLANK(Table1[[#This Row],[customer_name]]),"Unknown Customer",PROPER(SUBSTITUTE(Table1[[#This Row],[customer_name]],"Cust.","Customer")))</f>
        <v>Customer 388</v>
      </c>
      <c r="G390" t="s">
        <v>73</v>
      </c>
      <c r="H390" t="str">
        <f>IFERROR(_xlfn.XLOOKUP(Table1[[#This Row],[region]],Mappings!$C$3:$C$8,Mappings!$D$3:$D$8,,0,1),"Unknown")</f>
        <v>Europe</v>
      </c>
      <c r="I390" t="s">
        <v>27</v>
      </c>
      <c r="J390" t="str">
        <f>IFERROR(_xlfn.XLOOKUP(Table1[[#This Row],[sales_channel]],Table4[Original],Table4[Clean],,0,1),"Unknown")</f>
        <v>Online</v>
      </c>
      <c r="K390" t="s">
        <v>102</v>
      </c>
      <c r="L390" t="str">
        <f>IFERROR(_xlfn.XLOOKUP(Table1[[#This Row],[product]],Table3[Original],Table3[Product_clean],,0,1),"Unknown")</f>
        <v>Phone</v>
      </c>
      <c r="M390" s="6">
        <v>2</v>
      </c>
      <c r="N390">
        <f>IF(ISNUMBER(Table1[[#This Row],[quantity]]),Table1[[#This Row],[quantity]],IFERROR(VLOOKUP(Table1[[#This Row],[quantity]],Table5[#All],2,FALSE),"Unknown"))</f>
        <v>2</v>
      </c>
      <c r="O390" t="s">
        <v>901</v>
      </c>
      <c r="P390">
        <f>IFERROR(VALUE(SUBSTITUTE(SUBSTITUTE(SUBSTITUTE(Table1[[#This Row],[revenue]],"EUR",""),"$",""),".",",")),"")</f>
        <v>2432.77</v>
      </c>
      <c r="Q390" t="s">
        <v>55</v>
      </c>
      <c r="R390" t="str">
        <f>IF(OR(Table1[[#This Row],[currency]]="EUR",Table1[[#This Row],[currency]]="€"),"EUR",IF(OR(Table1[[#This Row],[currency]]="USD",Table1[[#This Row],[currency]]="$"),"USD","Unknown"))</f>
        <v>EUR</v>
      </c>
      <c r="S390" t="s">
        <v>35</v>
      </c>
      <c r="T390" t="str">
        <f>IFERROR(_xlfn.XLOOKUP(Table1[[#This Row],[order_status]],Table8[Original],Table8[Clean],,0,1),"Unknown")</f>
        <v>Returned</v>
      </c>
      <c r="V390" t="str">
        <f>IF(ISNUMBER(Table1[[#This Row],[delivery_days]]),Table1[[#This Row],[delivery_days]],IFERROR(_xlfn.XLOOKUP(Table1[[#This Row],[delivery_days]],Table57[Original],Table57[Clean],,0,1),"Unknown"))</f>
        <v>Unknown</v>
      </c>
      <c r="W390" t="s">
        <v>24</v>
      </c>
    </row>
    <row r="391" spans="1:23" x14ac:dyDescent="0.3">
      <c r="A391" t="s">
        <v>902</v>
      </c>
      <c r="B391" t="str">
        <f>IF(ISBLANK(Table1[[#This Row],[order_id]]),"",IF(LEFT(Table1[[#This Row],[order_id]],3)="ORD",Table1[[#This Row],[order_id]],"ORD-" &amp; Table1[[#This Row],[order_id]]))</f>
        <v>ORD-1389</v>
      </c>
      <c r="D391" s="1" t="str">
        <f>IFERROR(DATEVALUE(Table1[[#This Row],[order_date]]),"")</f>
        <v/>
      </c>
      <c r="E391" t="s">
        <v>903</v>
      </c>
      <c r="F391" t="str">
        <f>IF(ISBLANK(Table1[[#This Row],[customer_name]]),"Unknown Customer",PROPER(SUBSTITUTE(Table1[[#This Row],[customer_name]],"Cust.","Customer")))</f>
        <v>Customer 389</v>
      </c>
      <c r="H391" t="str">
        <f>IFERROR(_xlfn.XLOOKUP(Table1[[#This Row],[region]],Mappings!$C$3:$C$8,Mappings!$D$3:$D$8,,0,1),"Unknown")</f>
        <v>Unknown</v>
      </c>
      <c r="I391" t="s">
        <v>68</v>
      </c>
      <c r="J391" t="str">
        <f>IFERROR(_xlfn.XLOOKUP(Table1[[#This Row],[sales_channel]],Table4[Original],Table4[Clean],,0,1),"Unknown")</f>
        <v>Online</v>
      </c>
      <c r="K391" t="s">
        <v>33</v>
      </c>
      <c r="L391" t="str">
        <f>IFERROR(_xlfn.XLOOKUP(Table1[[#This Row],[product]],Table3[Original],Table3[Product_clean],,0,1),"Unknown")</f>
        <v>Tablet</v>
      </c>
      <c r="M391" s="6" t="s">
        <v>83</v>
      </c>
      <c r="N391">
        <f>IF(ISNUMBER(Table1[[#This Row],[quantity]]),Table1[[#This Row],[quantity]],IFERROR(VLOOKUP(Table1[[#This Row],[quantity]],Table5[#All],2,FALSE),"Unknown"))</f>
        <v>2</v>
      </c>
      <c r="P391" t="str">
        <f>IFERROR(VALUE(SUBSTITUTE(SUBSTITUTE(SUBSTITUTE(Table1[[#This Row],[revenue]],"EUR",""),"$",""),".",",")),"")</f>
        <v/>
      </c>
      <c r="Q391" t="s">
        <v>22</v>
      </c>
      <c r="R391" t="str">
        <f>IF(OR(Table1[[#This Row],[currency]]="EUR",Table1[[#This Row],[currency]]="€"),"EUR",IF(OR(Table1[[#This Row],[currency]]="USD",Table1[[#This Row],[currency]]="$"),"USD","Unknown"))</f>
        <v>USD</v>
      </c>
      <c r="S391" t="s">
        <v>23</v>
      </c>
      <c r="T391" t="str">
        <f>IFERROR(_xlfn.XLOOKUP(Table1[[#This Row],[order_status]],Table8[Original],Table8[Clean],,0,1),"Unknown")</f>
        <v>Delivered</v>
      </c>
      <c r="U391">
        <v>2</v>
      </c>
      <c r="V391">
        <f>IF(ISNUMBER(Table1[[#This Row],[delivery_days]]),Table1[[#This Row],[delivery_days]],IFERROR(_xlfn.XLOOKUP(Table1[[#This Row],[delivery_days]],Table57[Original],Table57[Clean],,0,1),"Unknown"))</f>
        <v>2</v>
      </c>
    </row>
    <row r="392" spans="1:23" x14ac:dyDescent="0.3">
      <c r="B392" t="str">
        <f>IF(ISBLANK(Table1[[#This Row],[order_id]]),"",IF(LEFT(Table1[[#This Row],[order_id]],3)="ORD",Table1[[#This Row],[order_id]],"ORD-" &amp; Table1[[#This Row],[order_id]]))</f>
        <v/>
      </c>
      <c r="C392" t="s">
        <v>904</v>
      </c>
      <c r="D392" s="1">
        <f>IFERROR(DATEVALUE(Table1[[#This Row],[order_date]]),"")</f>
        <v>45356</v>
      </c>
      <c r="E392" t="s">
        <v>905</v>
      </c>
      <c r="F392" t="str">
        <f>IF(ISBLANK(Table1[[#This Row],[customer_name]]),"Unknown Customer",PROPER(SUBSTITUTE(Table1[[#This Row],[customer_name]],"Cust.","Customer")))</f>
        <v>Customer 390</v>
      </c>
      <c r="G392" t="s">
        <v>54</v>
      </c>
      <c r="H392" t="str">
        <f>IFERROR(_xlfn.XLOOKUP(Table1[[#This Row],[region]],Mappings!$C$3:$C$8,Mappings!$D$3:$D$8,,0,1),"Unknown")</f>
        <v>USA</v>
      </c>
      <c r="I392" t="s">
        <v>78</v>
      </c>
      <c r="J392" t="str">
        <f>IFERROR(_xlfn.XLOOKUP(Table1[[#This Row],[sales_channel]],Table4[Original],Table4[Clean],,0,1),"Unknown")</f>
        <v>Mobile</v>
      </c>
      <c r="K392" t="s">
        <v>51</v>
      </c>
      <c r="L392" t="str">
        <f>IFERROR(_xlfn.XLOOKUP(Table1[[#This Row],[product]],Table3[Original],Table3[Product_clean],,0,1),"Unknown")</f>
        <v>Laptop</v>
      </c>
      <c r="M392" s="6">
        <v>1</v>
      </c>
      <c r="N392">
        <f>IF(ISNUMBER(Table1[[#This Row],[quantity]]),Table1[[#This Row],[quantity]],IFERROR(VLOOKUP(Table1[[#This Row],[quantity]],Table5[#All],2,FALSE),"Unknown"))</f>
        <v>1</v>
      </c>
      <c r="O392" t="s">
        <v>906</v>
      </c>
      <c r="P392">
        <f>IFERROR(VALUE(SUBSTITUTE(SUBSTITUTE(SUBSTITUTE(Table1[[#This Row],[revenue]],"EUR",""),"$",""),".",",")),"")</f>
        <v>2196.9299999999998</v>
      </c>
      <c r="Q392" t="s">
        <v>17</v>
      </c>
      <c r="R392" t="str">
        <f>IF(OR(Table1[[#This Row],[currency]]="EUR",Table1[[#This Row],[currency]]="€"),"EUR",IF(OR(Table1[[#This Row],[currency]]="USD",Table1[[#This Row],[currency]]="$"),"USD","Unknown"))</f>
        <v>EUR</v>
      </c>
      <c r="S392" t="s">
        <v>47</v>
      </c>
      <c r="T392" t="str">
        <f>IFERROR(_xlfn.XLOOKUP(Table1[[#This Row],[order_status]],Table8[Original],Table8[Clean],,0,1),"Unknown")</f>
        <v>Returned</v>
      </c>
      <c r="U392" t="s">
        <v>36</v>
      </c>
      <c r="V392">
        <f>IF(ISNUMBER(Table1[[#This Row],[delivery_days]]),Table1[[#This Row],[delivery_days]],IFERROR(_xlfn.XLOOKUP(Table1[[#This Row],[delivery_days]],Table57[Original],Table57[Clean],,0,1),"Unknown"))</f>
        <v>5</v>
      </c>
    </row>
    <row r="393" spans="1:23" x14ac:dyDescent="0.3">
      <c r="A393">
        <v>1391</v>
      </c>
      <c r="B393" t="str">
        <f>IF(ISBLANK(Table1[[#This Row],[order_id]]),"",IF(LEFT(Table1[[#This Row],[order_id]],3)="ORD",Table1[[#This Row],[order_id]],"ORD-" &amp; Table1[[#This Row],[order_id]]))</f>
        <v>ORD-1391</v>
      </c>
      <c r="C393" t="s">
        <v>907</v>
      </c>
      <c r="D393" s="1" t="str">
        <f>IFERROR(DATEVALUE(Table1[[#This Row],[order_date]]),"")</f>
        <v/>
      </c>
      <c r="E393" t="s">
        <v>908</v>
      </c>
      <c r="F393" t="str">
        <f>IF(ISBLANK(Table1[[#This Row],[customer_name]]),"Unknown Customer",PROPER(SUBSTITUTE(Table1[[#This Row],[customer_name]],"Cust.","Customer")))</f>
        <v>Customer 391</v>
      </c>
      <c r="G393" t="s">
        <v>73</v>
      </c>
      <c r="H393" t="str">
        <f>IFERROR(_xlfn.XLOOKUP(Table1[[#This Row],[region]],Mappings!$C$3:$C$8,Mappings!$D$3:$D$8,,0,1),"Unknown")</f>
        <v>Europe</v>
      </c>
      <c r="J393" t="str">
        <f>IFERROR(_xlfn.XLOOKUP(Table1[[#This Row],[sales_channel]],Table4[Original],Table4[Clean],,0,1),"Unknown")</f>
        <v>Unknown</v>
      </c>
      <c r="K393" t="s">
        <v>41</v>
      </c>
      <c r="L393" t="str">
        <f>IFERROR(_xlfn.XLOOKUP(Table1[[#This Row],[product]],Table3[Original],Table3[Product_clean],,0,1),"Unknown")</f>
        <v>Phone</v>
      </c>
      <c r="M393" s="6">
        <v>3</v>
      </c>
      <c r="N393">
        <f>IF(ISNUMBER(Table1[[#This Row],[quantity]]),Table1[[#This Row],[quantity]],IFERROR(VLOOKUP(Table1[[#This Row],[quantity]],Table5[#All],2,FALSE),"Unknown"))</f>
        <v>3</v>
      </c>
      <c r="O393">
        <v>2324.25</v>
      </c>
      <c r="P393">
        <f>IFERROR(VALUE(SUBSTITUTE(SUBSTITUTE(SUBSTITUTE(Table1[[#This Row],[revenue]],"EUR",""),"$",""),".",",")),"")</f>
        <v>2324.25</v>
      </c>
      <c r="Q393" t="s">
        <v>58</v>
      </c>
      <c r="R393" t="str">
        <f>IF(OR(Table1[[#This Row],[currency]]="EUR",Table1[[#This Row],[currency]]="€"),"EUR",IF(OR(Table1[[#This Row],[currency]]="USD",Table1[[#This Row],[currency]]="$"),"USD","Unknown"))</f>
        <v>USD</v>
      </c>
      <c r="S393" t="s">
        <v>23</v>
      </c>
      <c r="T393" t="str">
        <f>IFERROR(_xlfn.XLOOKUP(Table1[[#This Row],[order_status]],Table8[Original],Table8[Clean],,0,1),"Unknown")</f>
        <v>Delivered</v>
      </c>
      <c r="V393" t="str">
        <f>IF(ISNUMBER(Table1[[#This Row],[delivery_days]]),Table1[[#This Row],[delivery_days]],IFERROR(_xlfn.XLOOKUP(Table1[[#This Row],[delivery_days]],Table57[Original],Table57[Clean],,0,1),"Unknown"))</f>
        <v>Unknown</v>
      </c>
      <c r="W393" t="s">
        <v>24</v>
      </c>
    </row>
    <row r="394" spans="1:23" x14ac:dyDescent="0.3">
      <c r="B394" t="str">
        <f>IF(ISBLANK(Table1[[#This Row],[order_id]]),"",IF(LEFT(Table1[[#This Row],[order_id]],3)="ORD",Table1[[#This Row],[order_id]],"ORD-" &amp; Table1[[#This Row],[order_id]]))</f>
        <v/>
      </c>
      <c r="C394" t="s">
        <v>909</v>
      </c>
      <c r="D394" s="1">
        <f>IFERROR(DATEVALUE(Table1[[#This Row],[order_date]]),"")</f>
        <v>45518</v>
      </c>
      <c r="E394" t="s">
        <v>910</v>
      </c>
      <c r="F394" t="str">
        <f>IF(ISBLANK(Table1[[#This Row],[customer_name]]),"Unknown Customer",PROPER(SUBSTITUTE(Table1[[#This Row],[customer_name]],"Cust.","Customer")))</f>
        <v>Customer 392</v>
      </c>
      <c r="G394" t="s">
        <v>73</v>
      </c>
      <c r="H394" t="str">
        <f>IFERROR(_xlfn.XLOOKUP(Table1[[#This Row],[region]],Mappings!$C$3:$C$8,Mappings!$D$3:$D$8,,0,1),"Unknown")</f>
        <v>Europe</v>
      </c>
      <c r="J394" t="str">
        <f>IFERROR(_xlfn.XLOOKUP(Table1[[#This Row],[sales_channel]],Table4[Original],Table4[Clean],,0,1),"Unknown")</f>
        <v>Unknown</v>
      </c>
      <c r="K394" t="s">
        <v>102</v>
      </c>
      <c r="L394" t="str">
        <f>IFERROR(_xlfn.XLOOKUP(Table1[[#This Row],[product]],Table3[Original],Table3[Product_clean],,0,1),"Unknown")</f>
        <v>Phone</v>
      </c>
      <c r="M394" s="6">
        <v>3</v>
      </c>
      <c r="N394">
        <f>IF(ISNUMBER(Table1[[#This Row],[quantity]]),Table1[[#This Row],[quantity]],IFERROR(VLOOKUP(Table1[[#This Row],[quantity]],Table5[#All],2,FALSE),"Unknown"))</f>
        <v>3</v>
      </c>
      <c r="O394" t="s">
        <v>911</v>
      </c>
      <c r="P394">
        <f>IFERROR(VALUE(SUBSTITUTE(SUBSTITUTE(SUBSTITUTE(Table1[[#This Row],[revenue]],"EUR",""),"$",""),".",",")),"")</f>
        <v>1898.12</v>
      </c>
      <c r="Q394" t="s">
        <v>22</v>
      </c>
      <c r="R394" t="str">
        <f>IF(OR(Table1[[#This Row],[currency]]="EUR",Table1[[#This Row],[currency]]="€"),"EUR",IF(OR(Table1[[#This Row],[currency]]="USD",Table1[[#This Row],[currency]]="$"),"USD","Unknown"))</f>
        <v>USD</v>
      </c>
      <c r="S394" t="s">
        <v>47</v>
      </c>
      <c r="T394" t="str">
        <f>IFERROR(_xlfn.XLOOKUP(Table1[[#This Row],[order_status]],Table8[Original],Table8[Clean],,0,1),"Unknown")</f>
        <v>Returned</v>
      </c>
      <c r="U394" t="s">
        <v>36</v>
      </c>
      <c r="V394">
        <f>IF(ISNUMBER(Table1[[#This Row],[delivery_days]]),Table1[[#This Row],[delivery_days]],IFERROR(_xlfn.XLOOKUP(Table1[[#This Row],[delivery_days]],Table57[Original],Table57[Clean],,0,1),"Unknown"))</f>
        <v>5</v>
      </c>
      <c r="W394" t="s">
        <v>24</v>
      </c>
    </row>
    <row r="395" spans="1:23" x14ac:dyDescent="0.3">
      <c r="B395" t="str">
        <f>IF(ISBLANK(Table1[[#This Row],[order_id]]),"",IF(LEFT(Table1[[#This Row],[order_id]],3)="ORD",Table1[[#This Row],[order_id]],"ORD-" &amp; Table1[[#This Row],[order_id]]))</f>
        <v/>
      </c>
      <c r="D395" s="1" t="str">
        <f>IFERROR(DATEVALUE(Table1[[#This Row],[order_date]]),"")</f>
        <v/>
      </c>
      <c r="F395" t="str">
        <f>IF(ISBLANK(Table1[[#This Row],[customer_name]]),"Unknown Customer",PROPER(SUBSTITUTE(Table1[[#This Row],[customer_name]],"Cust.","Customer")))</f>
        <v>Unknown Customer</v>
      </c>
      <c r="G395" t="s">
        <v>45</v>
      </c>
      <c r="H395" t="str">
        <f>IFERROR(_xlfn.XLOOKUP(Table1[[#This Row],[region]],Mappings!$C$3:$C$8,Mappings!$D$3:$D$8,,0,1),"Unknown")</f>
        <v>USA</v>
      </c>
      <c r="J395" t="str">
        <f>IFERROR(_xlfn.XLOOKUP(Table1[[#This Row],[sales_channel]],Table4[Original],Table4[Clean],,0,1),"Unknown")</f>
        <v>Unknown</v>
      </c>
      <c r="K395" t="s">
        <v>15</v>
      </c>
      <c r="L395" t="str">
        <f>IFERROR(_xlfn.XLOOKUP(Table1[[#This Row],[product]],Table3[Original],Table3[Product_clean],,0,1),"Unknown")</f>
        <v>Tablet</v>
      </c>
      <c r="M395" s="6"/>
      <c r="N395" t="str">
        <f>IF(ISNUMBER(Table1[[#This Row],[quantity]]),Table1[[#This Row],[quantity]],IFERROR(VLOOKUP(Table1[[#This Row],[quantity]],Table5[#All],2,FALSE),"Unknown"))</f>
        <v>Unknown</v>
      </c>
      <c r="O395" t="s">
        <v>912</v>
      </c>
      <c r="P395">
        <f>IFERROR(VALUE(SUBSTITUTE(SUBSTITUTE(SUBSTITUTE(Table1[[#This Row],[revenue]],"EUR",""),"$",""),".",",")),"")</f>
        <v>1362.29</v>
      </c>
      <c r="Q395" t="s">
        <v>55</v>
      </c>
      <c r="R395" t="str">
        <f>IF(OR(Table1[[#This Row],[currency]]="EUR",Table1[[#This Row],[currency]]="€"),"EUR",IF(OR(Table1[[#This Row],[currency]]="USD",Table1[[#This Row],[currency]]="$"),"USD","Unknown"))</f>
        <v>EUR</v>
      </c>
      <c r="S395" t="s">
        <v>35</v>
      </c>
      <c r="T395" t="str">
        <f>IFERROR(_xlfn.XLOOKUP(Table1[[#This Row],[order_status]],Table8[Original],Table8[Clean],,0,1),"Unknown")</f>
        <v>Returned</v>
      </c>
      <c r="U395">
        <v>5</v>
      </c>
      <c r="V395">
        <f>IF(ISNUMBER(Table1[[#This Row],[delivery_days]]),Table1[[#This Row],[delivery_days]],IFERROR(_xlfn.XLOOKUP(Table1[[#This Row],[delivery_days]],Table57[Original],Table57[Clean],,0,1),"Unknown"))</f>
        <v>5</v>
      </c>
      <c r="W395" t="s">
        <v>37</v>
      </c>
    </row>
    <row r="396" spans="1:23" x14ac:dyDescent="0.3">
      <c r="A396" t="s">
        <v>913</v>
      </c>
      <c r="B396" t="str">
        <f>IF(ISBLANK(Table1[[#This Row],[order_id]]),"",IF(LEFT(Table1[[#This Row],[order_id]],3)="ORD",Table1[[#This Row],[order_id]],"ORD-" &amp; Table1[[#This Row],[order_id]]))</f>
        <v>ORD-1394</v>
      </c>
      <c r="D396" s="1" t="str">
        <f>IFERROR(DATEVALUE(Table1[[#This Row],[order_date]]),"")</f>
        <v/>
      </c>
      <c r="E396" t="s">
        <v>914</v>
      </c>
      <c r="F396" t="str">
        <f>IF(ISBLANK(Table1[[#This Row],[customer_name]]),"Unknown Customer",PROPER(SUBSTITUTE(Table1[[#This Row],[customer_name]],"Cust.","Customer")))</f>
        <v>Customer 394</v>
      </c>
      <c r="G396" t="s">
        <v>54</v>
      </c>
      <c r="H396" t="str">
        <f>IFERROR(_xlfn.XLOOKUP(Table1[[#This Row],[region]],Mappings!$C$3:$C$8,Mappings!$D$3:$D$8,,0,1),"Unknown")</f>
        <v>USA</v>
      </c>
      <c r="I396" t="s">
        <v>50</v>
      </c>
      <c r="J396" t="str">
        <f>IFERROR(_xlfn.XLOOKUP(Table1[[#This Row],[sales_channel]],Table4[Original],Table4[Clean],,0,1),"Unknown")</f>
        <v>Mobile</v>
      </c>
      <c r="K396" t="s">
        <v>51</v>
      </c>
      <c r="L396" t="str">
        <f>IFERROR(_xlfn.XLOOKUP(Table1[[#This Row],[product]],Table3[Original],Table3[Product_clean],,0,1),"Unknown")</f>
        <v>Laptop</v>
      </c>
      <c r="M396" s="6">
        <v>1</v>
      </c>
      <c r="N396">
        <f>IF(ISNUMBER(Table1[[#This Row],[quantity]]),Table1[[#This Row],[quantity]],IFERROR(VLOOKUP(Table1[[#This Row],[quantity]],Table5[#All],2,FALSE),"Unknown"))</f>
        <v>1</v>
      </c>
      <c r="O396" t="s">
        <v>915</v>
      </c>
      <c r="P396">
        <f>IFERROR(VALUE(SUBSTITUTE(SUBSTITUTE(SUBSTITUTE(Table1[[#This Row],[revenue]],"EUR",""),"$",""),".",",")),"")</f>
        <v>314.18</v>
      </c>
      <c r="R396" t="str">
        <f>IF(OR(Table1[[#This Row],[currency]]="EUR",Table1[[#This Row],[currency]]="€"),"EUR",IF(OR(Table1[[#This Row],[currency]]="USD",Table1[[#This Row],[currency]]="$"),"USD","Unknown"))</f>
        <v>Unknown</v>
      </c>
      <c r="S396" t="s">
        <v>23</v>
      </c>
      <c r="T396" t="str">
        <f>IFERROR(_xlfn.XLOOKUP(Table1[[#This Row],[order_status]],Table8[Original],Table8[Clean],,0,1),"Unknown")</f>
        <v>Delivered</v>
      </c>
      <c r="U396">
        <v>3</v>
      </c>
      <c r="V396">
        <f>IF(ISNUMBER(Table1[[#This Row],[delivery_days]]),Table1[[#This Row],[delivery_days]],IFERROR(_xlfn.XLOOKUP(Table1[[#This Row],[delivery_days]],Table57[Original],Table57[Clean],,0,1),"Unknown"))</f>
        <v>3</v>
      </c>
      <c r="W396" t="s">
        <v>24</v>
      </c>
    </row>
    <row r="397" spans="1:23" x14ac:dyDescent="0.3">
      <c r="A397" t="s">
        <v>916</v>
      </c>
      <c r="B397" t="str">
        <f>IF(ISBLANK(Table1[[#This Row],[order_id]]),"",IF(LEFT(Table1[[#This Row],[order_id]],3)="ORD",Table1[[#This Row],[order_id]],"ORD-" &amp; Table1[[#This Row],[order_id]]))</f>
        <v>ORD-1395</v>
      </c>
      <c r="C397" t="s">
        <v>917</v>
      </c>
      <c r="D397" s="1" t="str">
        <f>IFERROR(DATEVALUE(Table1[[#This Row],[order_date]]),"")</f>
        <v/>
      </c>
      <c r="E397" t="s">
        <v>918</v>
      </c>
      <c r="F397" t="str">
        <f>IF(ISBLANK(Table1[[#This Row],[customer_name]]),"Unknown Customer",PROPER(SUBSTITUTE(Table1[[#This Row],[customer_name]],"Cust.","Customer")))</f>
        <v>Customer 395</v>
      </c>
      <c r="H397" t="str">
        <f>IFERROR(_xlfn.XLOOKUP(Table1[[#This Row],[region]],Mappings!$C$3:$C$8,Mappings!$D$3:$D$8,,0,1),"Unknown")</f>
        <v>Unknown</v>
      </c>
      <c r="I397" t="s">
        <v>78</v>
      </c>
      <c r="J397" t="str">
        <f>IFERROR(_xlfn.XLOOKUP(Table1[[#This Row],[sales_channel]],Table4[Original],Table4[Clean],,0,1),"Unknown")</f>
        <v>Mobile</v>
      </c>
      <c r="L397" t="str">
        <f>IFERROR(_xlfn.XLOOKUP(Table1[[#This Row],[product]],Table3[Original],Table3[Product_clean],,0,1),"Unknown")</f>
        <v>Unknown</v>
      </c>
      <c r="M397" s="6">
        <v>3</v>
      </c>
      <c r="N397">
        <f>IF(ISNUMBER(Table1[[#This Row],[quantity]]),Table1[[#This Row],[quantity]],IFERROR(VLOOKUP(Table1[[#This Row],[quantity]],Table5[#All],2,FALSE),"Unknown"))</f>
        <v>3</v>
      </c>
      <c r="P397" t="str">
        <f>IFERROR(VALUE(SUBSTITUTE(SUBSTITUTE(SUBSTITUTE(Table1[[#This Row],[revenue]],"EUR",""),"$",""),".",",")),"")</f>
        <v/>
      </c>
      <c r="R397" t="str">
        <f>IF(OR(Table1[[#This Row],[currency]]="EUR",Table1[[#This Row],[currency]]="€"),"EUR",IF(OR(Table1[[#This Row],[currency]]="USD",Table1[[#This Row],[currency]]="$"),"USD","Unknown"))</f>
        <v>Unknown</v>
      </c>
      <c r="S397" t="s">
        <v>23</v>
      </c>
      <c r="T397" t="str">
        <f>IFERROR(_xlfn.XLOOKUP(Table1[[#This Row],[order_status]],Table8[Original],Table8[Clean],,0,1),"Unknown")</f>
        <v>Delivered</v>
      </c>
      <c r="U397">
        <v>1</v>
      </c>
      <c r="V397">
        <f>IF(ISNUMBER(Table1[[#This Row],[delivery_days]]),Table1[[#This Row],[delivery_days]],IFERROR(_xlfn.XLOOKUP(Table1[[#This Row],[delivery_days]],Table57[Original],Table57[Clean],,0,1),"Unknown"))</f>
        <v>1</v>
      </c>
      <c r="W397" t="s">
        <v>24</v>
      </c>
    </row>
    <row r="398" spans="1:23" x14ac:dyDescent="0.3">
      <c r="A398" t="s">
        <v>919</v>
      </c>
      <c r="B398" t="str">
        <f>IF(ISBLANK(Table1[[#This Row],[order_id]]),"",IF(LEFT(Table1[[#This Row],[order_id]],3)="ORD",Table1[[#This Row],[order_id]],"ORD-" &amp; Table1[[#This Row],[order_id]]))</f>
        <v>ORD-1396</v>
      </c>
      <c r="C398" t="s">
        <v>920</v>
      </c>
      <c r="D398" s="1">
        <f>IFERROR(DATEVALUE(Table1[[#This Row],[order_date]]),"")</f>
        <v>45388</v>
      </c>
      <c r="E398" t="s">
        <v>921</v>
      </c>
      <c r="F398" t="str">
        <f>IF(ISBLANK(Table1[[#This Row],[customer_name]]),"Unknown Customer",PROPER(SUBSTITUTE(Table1[[#This Row],[customer_name]],"Cust.","Customer")))</f>
        <v>Customer 396</v>
      </c>
      <c r="H398" t="str">
        <f>IFERROR(_xlfn.XLOOKUP(Table1[[#This Row],[region]],Mappings!$C$3:$C$8,Mappings!$D$3:$D$8,,0,1),"Unknown")</f>
        <v>Unknown</v>
      </c>
      <c r="J398" t="str">
        <f>IFERROR(_xlfn.XLOOKUP(Table1[[#This Row],[sales_channel]],Table4[Original],Table4[Clean],,0,1),"Unknown")</f>
        <v>Unknown</v>
      </c>
      <c r="K398" t="s">
        <v>15</v>
      </c>
      <c r="L398" t="str">
        <f>IFERROR(_xlfn.XLOOKUP(Table1[[#This Row],[product]],Table3[Original],Table3[Product_clean],,0,1),"Unknown")</f>
        <v>Tablet</v>
      </c>
      <c r="M398" s="6" t="s">
        <v>83</v>
      </c>
      <c r="N398">
        <f>IF(ISNUMBER(Table1[[#This Row],[quantity]]),Table1[[#This Row],[quantity]],IFERROR(VLOOKUP(Table1[[#This Row],[quantity]],Table5[#All],2,FALSE),"Unknown"))</f>
        <v>2</v>
      </c>
      <c r="P398" t="str">
        <f>IFERROR(VALUE(SUBSTITUTE(SUBSTITUTE(SUBSTITUTE(Table1[[#This Row],[revenue]],"EUR",""),"$",""),".",",")),"")</f>
        <v/>
      </c>
      <c r="Q398" t="s">
        <v>22</v>
      </c>
      <c r="R398" t="str">
        <f>IF(OR(Table1[[#This Row],[currency]]="EUR",Table1[[#This Row],[currency]]="€"),"EUR",IF(OR(Table1[[#This Row],[currency]]="USD",Table1[[#This Row],[currency]]="$"),"USD","Unknown"))</f>
        <v>USD</v>
      </c>
      <c r="S398" t="s">
        <v>23</v>
      </c>
      <c r="T398" t="str">
        <f>IFERROR(_xlfn.XLOOKUP(Table1[[#This Row],[order_status]],Table8[Original],Table8[Clean],,0,1),"Unknown")</f>
        <v>Delivered</v>
      </c>
      <c r="U398">
        <v>3</v>
      </c>
      <c r="V398">
        <f>IF(ISNUMBER(Table1[[#This Row],[delivery_days]]),Table1[[#This Row],[delivery_days]],IFERROR(_xlfn.XLOOKUP(Table1[[#This Row],[delivery_days]],Table57[Original],Table57[Clean],,0,1),"Unknown"))</f>
        <v>3</v>
      </c>
    </row>
    <row r="399" spans="1:23" x14ac:dyDescent="0.3">
      <c r="A399" t="s">
        <v>922</v>
      </c>
      <c r="B399" t="str">
        <f>IF(ISBLANK(Table1[[#This Row],[order_id]]),"",IF(LEFT(Table1[[#This Row],[order_id]],3)="ORD",Table1[[#This Row],[order_id]],"ORD-" &amp; Table1[[#This Row],[order_id]]))</f>
        <v>ORD-1397</v>
      </c>
      <c r="C399" t="s">
        <v>923</v>
      </c>
      <c r="D399" s="1">
        <f>IFERROR(DATEVALUE(Table1[[#This Row],[order_date]]),"")</f>
        <v>45390</v>
      </c>
      <c r="F399" t="str">
        <f>IF(ISBLANK(Table1[[#This Row],[customer_name]]),"Unknown Customer",PROPER(SUBSTITUTE(Table1[[#This Row],[customer_name]],"Cust.","Customer")))</f>
        <v>Unknown Customer</v>
      </c>
      <c r="G399" t="s">
        <v>54</v>
      </c>
      <c r="H399" t="str">
        <f>IFERROR(_xlfn.XLOOKUP(Table1[[#This Row],[region]],Mappings!$C$3:$C$8,Mappings!$D$3:$D$8,,0,1),"Unknown")</f>
        <v>USA</v>
      </c>
      <c r="I399" t="s">
        <v>14</v>
      </c>
      <c r="J399" t="str">
        <f>IFERROR(_xlfn.XLOOKUP(Table1[[#This Row],[sales_channel]],Table4[Original],Table4[Clean],,0,1),"Unknown")</f>
        <v>Online</v>
      </c>
      <c r="K399" t="s">
        <v>28</v>
      </c>
      <c r="L399" t="str">
        <f>IFERROR(_xlfn.XLOOKUP(Table1[[#This Row],[product]],Table3[Original],Table3[Product_clean],,0,1),"Unknown")</f>
        <v>Laptop</v>
      </c>
      <c r="M399" s="6">
        <v>2</v>
      </c>
      <c r="N399">
        <f>IF(ISNUMBER(Table1[[#This Row],[quantity]]),Table1[[#This Row],[quantity]],IFERROR(VLOOKUP(Table1[[#This Row],[quantity]],Table5[#All],2,FALSE),"Unknown"))</f>
        <v>2</v>
      </c>
      <c r="O399" t="s">
        <v>924</v>
      </c>
      <c r="P399">
        <f>IFERROR(VALUE(SUBSTITUTE(SUBSTITUTE(SUBSTITUTE(Table1[[#This Row],[revenue]],"EUR",""),"$",""),".",",")),"")</f>
        <v>1894.7</v>
      </c>
      <c r="Q399" t="s">
        <v>55</v>
      </c>
      <c r="R399" t="str">
        <f>IF(OR(Table1[[#This Row],[currency]]="EUR",Table1[[#This Row],[currency]]="€"),"EUR",IF(OR(Table1[[#This Row],[currency]]="USD",Table1[[#This Row],[currency]]="$"),"USD","Unknown"))</f>
        <v>EUR</v>
      </c>
      <c r="S399" t="s">
        <v>30</v>
      </c>
      <c r="T399" t="str">
        <f>IFERROR(_xlfn.XLOOKUP(Table1[[#This Row],[order_status]],Table8[Original],Table8[Clean],,0,1),"Unknown")</f>
        <v>Delivered</v>
      </c>
      <c r="V399" t="str">
        <f>IF(ISNUMBER(Table1[[#This Row],[delivery_days]]),Table1[[#This Row],[delivery_days]],IFERROR(_xlfn.XLOOKUP(Table1[[#This Row],[delivery_days]],Table57[Original],Table57[Clean],,0,1),"Unknown"))</f>
        <v>Unknown</v>
      </c>
    </row>
    <row r="400" spans="1:23" x14ac:dyDescent="0.3">
      <c r="A400">
        <v>1398</v>
      </c>
      <c r="B400" t="str">
        <f>IF(ISBLANK(Table1[[#This Row],[order_id]]),"",IF(LEFT(Table1[[#This Row],[order_id]],3)="ORD",Table1[[#This Row],[order_id]],"ORD-" &amp; Table1[[#This Row],[order_id]]))</f>
        <v>ORD-1398</v>
      </c>
      <c r="C400" t="s">
        <v>925</v>
      </c>
      <c r="D400" s="1">
        <f>IFERROR(DATEVALUE(Table1[[#This Row],[order_date]]),"")</f>
        <v>45637</v>
      </c>
      <c r="E400" t="s">
        <v>926</v>
      </c>
      <c r="F400" t="str">
        <f>IF(ISBLANK(Table1[[#This Row],[customer_name]]),"Unknown Customer",PROPER(SUBSTITUTE(Table1[[#This Row],[customer_name]],"Cust.","Customer")))</f>
        <v>Customer 398</v>
      </c>
      <c r="G400" t="s">
        <v>54</v>
      </c>
      <c r="H400" t="str">
        <f>IFERROR(_xlfn.XLOOKUP(Table1[[#This Row],[region]],Mappings!$C$3:$C$8,Mappings!$D$3:$D$8,,0,1),"Unknown")</f>
        <v>USA</v>
      </c>
      <c r="I400" t="s">
        <v>14</v>
      </c>
      <c r="J400" t="str">
        <f>IFERROR(_xlfn.XLOOKUP(Table1[[#This Row],[sales_channel]],Table4[Original],Table4[Clean],,0,1),"Unknown")</f>
        <v>Online</v>
      </c>
      <c r="K400" t="s">
        <v>33</v>
      </c>
      <c r="L400" t="str">
        <f>IFERROR(_xlfn.XLOOKUP(Table1[[#This Row],[product]],Table3[Original],Table3[Product_clean],,0,1),"Unknown")</f>
        <v>Tablet</v>
      </c>
      <c r="M400" s="6">
        <v>1</v>
      </c>
      <c r="N400">
        <f>IF(ISNUMBER(Table1[[#This Row],[quantity]]),Table1[[#This Row],[quantity]],IFERROR(VLOOKUP(Table1[[#This Row],[quantity]],Table5[#All],2,FALSE),"Unknown"))</f>
        <v>1</v>
      </c>
      <c r="P400" t="str">
        <f>IFERROR(VALUE(SUBSTITUTE(SUBSTITUTE(SUBSTITUTE(Table1[[#This Row],[revenue]],"EUR",""),"$",""),".",",")),"")</f>
        <v/>
      </c>
      <c r="Q400" t="s">
        <v>58</v>
      </c>
      <c r="R400" t="str">
        <f>IF(OR(Table1[[#This Row],[currency]]="EUR",Table1[[#This Row],[currency]]="€"),"EUR",IF(OR(Table1[[#This Row],[currency]]="USD",Table1[[#This Row],[currency]]="$"),"USD","Unknown"))</f>
        <v>USD</v>
      </c>
      <c r="S400" t="s">
        <v>30</v>
      </c>
      <c r="T400" t="str">
        <f>IFERROR(_xlfn.XLOOKUP(Table1[[#This Row],[order_status]],Table8[Original],Table8[Clean],,0,1),"Unknown")</f>
        <v>Delivered</v>
      </c>
      <c r="U400">
        <v>3</v>
      </c>
      <c r="V400">
        <f>IF(ISNUMBER(Table1[[#This Row],[delivery_days]]),Table1[[#This Row],[delivery_days]],IFERROR(_xlfn.XLOOKUP(Table1[[#This Row],[delivery_days]],Table57[Original],Table57[Clean],,0,1),"Unknown"))</f>
        <v>3</v>
      </c>
      <c r="W400" t="s">
        <v>24</v>
      </c>
    </row>
    <row r="401" spans="1:23" x14ac:dyDescent="0.3">
      <c r="A401">
        <v>1399</v>
      </c>
      <c r="B401" t="str">
        <f>IF(ISBLANK(Table1[[#This Row],[order_id]]),"",IF(LEFT(Table1[[#This Row],[order_id]],3)="ORD",Table1[[#This Row],[order_id]],"ORD-" &amp; Table1[[#This Row],[order_id]]))</f>
        <v>ORD-1399</v>
      </c>
      <c r="C401" t="s">
        <v>904</v>
      </c>
      <c r="D401" s="1">
        <f>IFERROR(DATEVALUE(Table1[[#This Row],[order_date]]),"")</f>
        <v>45356</v>
      </c>
      <c r="E401" t="s">
        <v>927</v>
      </c>
      <c r="F401" t="str">
        <f>IF(ISBLANK(Table1[[#This Row],[customer_name]]),"Unknown Customer",PROPER(SUBSTITUTE(Table1[[#This Row],[customer_name]],"Cust.","Customer")))</f>
        <v>Customer 399</v>
      </c>
      <c r="G401" t="s">
        <v>73</v>
      </c>
      <c r="H401" t="str">
        <f>IFERROR(_xlfn.XLOOKUP(Table1[[#This Row],[region]],Mappings!$C$3:$C$8,Mappings!$D$3:$D$8,,0,1),"Unknown")</f>
        <v>Europe</v>
      </c>
      <c r="I401" t="s">
        <v>78</v>
      </c>
      <c r="J401" t="str">
        <f>IFERROR(_xlfn.XLOOKUP(Table1[[#This Row],[sales_channel]],Table4[Original],Table4[Clean],,0,1),"Unknown")</f>
        <v>Mobile</v>
      </c>
      <c r="K401" t="s">
        <v>28</v>
      </c>
      <c r="L401" t="str">
        <f>IFERROR(_xlfn.XLOOKUP(Table1[[#This Row],[product]],Table3[Original],Table3[Product_clean],,0,1),"Unknown")</f>
        <v>Laptop</v>
      </c>
      <c r="M401" s="6">
        <v>3</v>
      </c>
      <c r="N401">
        <f>IF(ISNUMBER(Table1[[#This Row],[quantity]]),Table1[[#This Row],[quantity]],IFERROR(VLOOKUP(Table1[[#This Row],[quantity]],Table5[#All],2,FALSE),"Unknown"))</f>
        <v>3</v>
      </c>
      <c r="O401">
        <v>2159.83</v>
      </c>
      <c r="P401">
        <f>IFERROR(VALUE(SUBSTITUTE(SUBSTITUTE(SUBSTITUTE(Table1[[#This Row],[revenue]],"EUR",""),"$",""),".",",")),"")</f>
        <v>2159.83</v>
      </c>
      <c r="Q401" t="s">
        <v>22</v>
      </c>
      <c r="R401" t="str">
        <f>IF(OR(Table1[[#This Row],[currency]]="EUR",Table1[[#This Row],[currency]]="€"),"EUR",IF(OR(Table1[[#This Row],[currency]]="USD",Table1[[#This Row],[currency]]="$"),"USD","Unknown"))</f>
        <v>USD</v>
      </c>
      <c r="S401" t="s">
        <v>35</v>
      </c>
      <c r="T401" t="str">
        <f>IFERROR(_xlfn.XLOOKUP(Table1[[#This Row],[order_status]],Table8[Original],Table8[Clean],,0,1),"Unknown")</f>
        <v>Returned</v>
      </c>
      <c r="U401">
        <v>5</v>
      </c>
      <c r="V401">
        <f>IF(ISNUMBER(Table1[[#This Row],[delivery_days]]),Table1[[#This Row],[delivery_days]],IFERROR(_xlfn.XLOOKUP(Table1[[#This Row],[delivery_days]],Table57[Original],Table57[Clean],,0,1),"Unknown"))</f>
        <v>5</v>
      </c>
      <c r="W401" t="s">
        <v>24</v>
      </c>
    </row>
    <row r="402" spans="1:23" x14ac:dyDescent="0.3">
      <c r="A402" t="s">
        <v>928</v>
      </c>
      <c r="B402" t="str">
        <f>IF(ISBLANK(Table1[[#This Row],[order_id]]),"",IF(LEFT(Table1[[#This Row],[order_id]],3)="ORD",Table1[[#This Row],[order_id]],"ORD-" &amp; Table1[[#This Row],[order_id]]))</f>
        <v>ORD-1400</v>
      </c>
      <c r="C402" t="s">
        <v>929</v>
      </c>
      <c r="D402" s="1">
        <f>IFERROR(DATEVALUE(Table1[[#This Row],[order_date]]),"")</f>
        <v>45529</v>
      </c>
      <c r="E402" t="s">
        <v>930</v>
      </c>
      <c r="F402" t="str">
        <f>IF(ISBLANK(Table1[[#This Row],[customer_name]]),"Unknown Customer",PROPER(SUBSTITUTE(Table1[[#This Row],[customer_name]],"Cust.","Customer")))</f>
        <v>Customer 400</v>
      </c>
      <c r="G402" t="s">
        <v>73</v>
      </c>
      <c r="H402" t="str">
        <f>IFERROR(_xlfn.XLOOKUP(Table1[[#This Row],[region]],Mappings!$C$3:$C$8,Mappings!$D$3:$D$8,,0,1),"Unknown")</f>
        <v>Europe</v>
      </c>
      <c r="I402" t="s">
        <v>50</v>
      </c>
      <c r="J402" t="str">
        <f>IFERROR(_xlfn.XLOOKUP(Table1[[#This Row],[sales_channel]],Table4[Original],Table4[Clean],,0,1),"Unknown")</f>
        <v>Mobile</v>
      </c>
      <c r="L402" t="str">
        <f>IFERROR(_xlfn.XLOOKUP(Table1[[#This Row],[product]],Table3[Original],Table3[Product_clean],,0,1),"Unknown")</f>
        <v>Unknown</v>
      </c>
      <c r="M402" s="6" t="s">
        <v>83</v>
      </c>
      <c r="N402">
        <f>IF(ISNUMBER(Table1[[#This Row],[quantity]]),Table1[[#This Row],[quantity]],IFERROR(VLOOKUP(Table1[[#This Row],[quantity]],Table5[#All],2,FALSE),"Unknown"))</f>
        <v>2</v>
      </c>
      <c r="O402">
        <v>2105.96</v>
      </c>
      <c r="P402">
        <f>IFERROR(VALUE(SUBSTITUTE(SUBSTITUTE(SUBSTITUTE(Table1[[#This Row],[revenue]],"EUR",""),"$",""),".",",")),"")</f>
        <v>2105.96</v>
      </c>
      <c r="Q402" t="s">
        <v>17</v>
      </c>
      <c r="R402" t="str">
        <f>IF(OR(Table1[[#This Row],[currency]]="EUR",Table1[[#This Row],[currency]]="€"),"EUR",IF(OR(Table1[[#This Row],[currency]]="USD",Table1[[#This Row],[currency]]="$"),"USD","Unknown"))</f>
        <v>EUR</v>
      </c>
      <c r="S402" t="s">
        <v>18</v>
      </c>
      <c r="T402" t="str">
        <f>IFERROR(_xlfn.XLOOKUP(Table1[[#This Row],[order_status]],Table8[Original],Table8[Clean],,0,1),"Unknown")</f>
        <v>Pending</v>
      </c>
      <c r="U402">
        <v>5</v>
      </c>
      <c r="V402">
        <f>IF(ISNUMBER(Table1[[#This Row],[delivery_days]]),Table1[[#This Row],[delivery_days]],IFERROR(_xlfn.XLOOKUP(Table1[[#This Row],[delivery_days]],Table57[Original],Table57[Clean],,0,1),"Unknown"))</f>
        <v>5</v>
      </c>
      <c r="W402" t="s">
        <v>37</v>
      </c>
    </row>
    <row r="403" spans="1:23" x14ac:dyDescent="0.3">
      <c r="A403" t="s">
        <v>931</v>
      </c>
      <c r="B403" t="str">
        <f>IF(ISBLANK(Table1[[#This Row],[order_id]]),"",IF(LEFT(Table1[[#This Row],[order_id]],3)="ORD",Table1[[#This Row],[order_id]],"ORD-" &amp; Table1[[#This Row],[order_id]]))</f>
        <v>ORD-1401</v>
      </c>
      <c r="C403" t="s">
        <v>932</v>
      </c>
      <c r="D403" s="1">
        <f>IFERROR(DATEVALUE(Table1[[#This Row],[order_date]]),"")</f>
        <v>45390</v>
      </c>
      <c r="E403" t="s">
        <v>933</v>
      </c>
      <c r="F403" t="str">
        <f>IF(ISBLANK(Table1[[#This Row],[customer_name]]),"Unknown Customer",PROPER(SUBSTITUTE(Table1[[#This Row],[customer_name]],"Cust.","Customer")))</f>
        <v>Customer 401</v>
      </c>
      <c r="H403" t="str">
        <f>IFERROR(_xlfn.XLOOKUP(Table1[[#This Row],[region]],Mappings!$C$3:$C$8,Mappings!$D$3:$D$8,,0,1),"Unknown")</f>
        <v>Unknown</v>
      </c>
      <c r="J403" t="str">
        <f>IFERROR(_xlfn.XLOOKUP(Table1[[#This Row],[sales_channel]],Table4[Original],Table4[Clean],,0,1),"Unknown")</f>
        <v>Unknown</v>
      </c>
      <c r="K403" t="s">
        <v>28</v>
      </c>
      <c r="L403" t="str">
        <f>IFERROR(_xlfn.XLOOKUP(Table1[[#This Row],[product]],Table3[Original],Table3[Product_clean],,0,1),"Unknown")</f>
        <v>Laptop</v>
      </c>
      <c r="M403" s="6" t="s">
        <v>83</v>
      </c>
      <c r="N403">
        <f>IF(ISNUMBER(Table1[[#This Row],[quantity]]),Table1[[#This Row],[quantity]],IFERROR(VLOOKUP(Table1[[#This Row],[quantity]],Table5[#All],2,FALSE),"Unknown"))</f>
        <v>2</v>
      </c>
      <c r="O403" t="s">
        <v>934</v>
      </c>
      <c r="P403">
        <f>IFERROR(VALUE(SUBSTITUTE(SUBSTITUTE(SUBSTITUTE(Table1[[#This Row],[revenue]],"EUR",""),"$",""),".",",")),"")</f>
        <v>2692.31</v>
      </c>
      <c r="Q403" t="s">
        <v>22</v>
      </c>
      <c r="R403" t="str">
        <f>IF(OR(Table1[[#This Row],[currency]]="EUR",Table1[[#This Row],[currency]]="€"),"EUR",IF(OR(Table1[[#This Row],[currency]]="USD",Table1[[#This Row],[currency]]="$"),"USD","Unknown"))</f>
        <v>USD</v>
      </c>
      <c r="S403" t="s">
        <v>23</v>
      </c>
      <c r="T403" t="str">
        <f>IFERROR(_xlfn.XLOOKUP(Table1[[#This Row],[order_status]],Table8[Original],Table8[Clean],,0,1),"Unknown")</f>
        <v>Delivered</v>
      </c>
      <c r="V403" t="str">
        <f>IF(ISNUMBER(Table1[[#This Row],[delivery_days]]),Table1[[#This Row],[delivery_days]],IFERROR(_xlfn.XLOOKUP(Table1[[#This Row],[delivery_days]],Table57[Original],Table57[Clean],,0,1),"Unknown"))</f>
        <v>Unknown</v>
      </c>
    </row>
    <row r="404" spans="1:23" x14ac:dyDescent="0.3">
      <c r="B404" t="str">
        <f>IF(ISBLANK(Table1[[#This Row],[order_id]]),"",IF(LEFT(Table1[[#This Row],[order_id]],3)="ORD",Table1[[#This Row],[order_id]],"ORD-" &amp; Table1[[#This Row],[order_id]]))</f>
        <v/>
      </c>
      <c r="C404" t="s">
        <v>935</v>
      </c>
      <c r="D404" s="1">
        <f>IFERROR(DATEVALUE(Table1[[#This Row],[order_date]]),"")</f>
        <v>45393</v>
      </c>
      <c r="F404" t="str">
        <f>IF(ISBLANK(Table1[[#This Row],[customer_name]]),"Unknown Customer",PROPER(SUBSTITUTE(Table1[[#This Row],[customer_name]],"Cust.","Customer")))</f>
        <v>Unknown Customer</v>
      </c>
      <c r="G404" t="s">
        <v>32</v>
      </c>
      <c r="H404" t="str">
        <f>IFERROR(_xlfn.XLOOKUP(Table1[[#This Row],[region]],Mappings!$C$3:$C$8,Mappings!$D$3:$D$8,,0,1),"Unknown")</f>
        <v>Europe</v>
      </c>
      <c r="J404" t="str">
        <f>IFERROR(_xlfn.XLOOKUP(Table1[[#This Row],[sales_channel]],Table4[Original],Table4[Clean],,0,1),"Unknown")</f>
        <v>Unknown</v>
      </c>
      <c r="K404" t="s">
        <v>102</v>
      </c>
      <c r="L404" t="str">
        <f>IFERROR(_xlfn.XLOOKUP(Table1[[#This Row],[product]],Table3[Original],Table3[Product_clean],,0,1),"Unknown")</f>
        <v>Phone</v>
      </c>
      <c r="M404" s="6">
        <v>3</v>
      </c>
      <c r="N404">
        <f>IF(ISNUMBER(Table1[[#This Row],[quantity]]),Table1[[#This Row],[quantity]],IFERROR(VLOOKUP(Table1[[#This Row],[quantity]],Table5[#All],2,FALSE),"Unknown"))</f>
        <v>3</v>
      </c>
      <c r="O404">
        <v>1409.46</v>
      </c>
      <c r="P404">
        <f>IFERROR(VALUE(SUBSTITUTE(SUBSTITUTE(SUBSTITUTE(Table1[[#This Row],[revenue]],"EUR",""),"$",""),".",",")),"")</f>
        <v>1409.46</v>
      </c>
      <c r="Q404" t="s">
        <v>58</v>
      </c>
      <c r="R404" t="str">
        <f>IF(OR(Table1[[#This Row],[currency]]="EUR",Table1[[#This Row],[currency]]="€"),"EUR",IF(OR(Table1[[#This Row],[currency]]="USD",Table1[[#This Row],[currency]]="$"),"USD","Unknown"))</f>
        <v>USD</v>
      </c>
      <c r="T404" t="str">
        <f>IFERROR(_xlfn.XLOOKUP(Table1[[#This Row],[order_status]],Table8[Original],Table8[Clean],,0,1),"Unknown")</f>
        <v>Unknown</v>
      </c>
      <c r="V404" t="str">
        <f>IF(ISNUMBER(Table1[[#This Row],[delivery_days]]),Table1[[#This Row],[delivery_days]],IFERROR(_xlfn.XLOOKUP(Table1[[#This Row],[delivery_days]],Table57[Original],Table57[Clean],,0,1),"Unknown"))</f>
        <v>Unknown</v>
      </c>
    </row>
    <row r="405" spans="1:23" x14ac:dyDescent="0.3">
      <c r="A405" t="s">
        <v>936</v>
      </c>
      <c r="B405" t="str">
        <f>IF(ISBLANK(Table1[[#This Row],[order_id]]),"",IF(LEFT(Table1[[#This Row],[order_id]],3)="ORD",Table1[[#This Row],[order_id]],"ORD-" &amp; Table1[[#This Row],[order_id]]))</f>
        <v>ORD-1403</v>
      </c>
      <c r="D405" s="1" t="str">
        <f>IFERROR(DATEVALUE(Table1[[#This Row],[order_date]]),"")</f>
        <v/>
      </c>
      <c r="E405" t="s">
        <v>937</v>
      </c>
      <c r="F405" t="str">
        <f>IF(ISBLANK(Table1[[#This Row],[customer_name]]),"Unknown Customer",PROPER(SUBSTITUTE(Table1[[#This Row],[customer_name]],"Cust.","Customer")))</f>
        <v>Customer 403</v>
      </c>
      <c r="G405" t="s">
        <v>54</v>
      </c>
      <c r="H405" t="str">
        <f>IFERROR(_xlfn.XLOOKUP(Table1[[#This Row],[region]],Mappings!$C$3:$C$8,Mappings!$D$3:$D$8,,0,1),"Unknown")</f>
        <v>USA</v>
      </c>
      <c r="I405" t="s">
        <v>50</v>
      </c>
      <c r="J405" t="str">
        <f>IFERROR(_xlfn.XLOOKUP(Table1[[#This Row],[sales_channel]],Table4[Original],Table4[Clean],,0,1),"Unknown")</f>
        <v>Mobile</v>
      </c>
      <c r="K405" t="s">
        <v>51</v>
      </c>
      <c r="L405" t="str">
        <f>IFERROR(_xlfn.XLOOKUP(Table1[[#This Row],[product]],Table3[Original],Table3[Product_clean],,0,1),"Unknown")</f>
        <v>Laptop</v>
      </c>
      <c r="M405" s="6">
        <v>2</v>
      </c>
      <c r="N405">
        <f>IF(ISNUMBER(Table1[[#This Row],[quantity]]),Table1[[#This Row],[quantity]],IFERROR(VLOOKUP(Table1[[#This Row],[quantity]],Table5[#All],2,FALSE),"Unknown"))</f>
        <v>2</v>
      </c>
      <c r="O405">
        <v>2815.39</v>
      </c>
      <c r="P405">
        <f>IFERROR(VALUE(SUBSTITUTE(SUBSTITUTE(SUBSTITUTE(Table1[[#This Row],[revenue]],"EUR",""),"$",""),".",",")),"")</f>
        <v>2815.39</v>
      </c>
      <c r="Q405" t="s">
        <v>17</v>
      </c>
      <c r="R405" t="str">
        <f>IF(OR(Table1[[#This Row],[currency]]="EUR",Table1[[#This Row],[currency]]="€"),"EUR",IF(OR(Table1[[#This Row],[currency]]="USD",Table1[[#This Row],[currency]]="$"),"USD","Unknown"))</f>
        <v>EUR</v>
      </c>
      <c r="S405" t="s">
        <v>23</v>
      </c>
      <c r="T405" t="str">
        <f>IFERROR(_xlfn.XLOOKUP(Table1[[#This Row],[order_status]],Table8[Original],Table8[Clean],,0,1),"Unknown")</f>
        <v>Delivered</v>
      </c>
      <c r="V405" t="str">
        <f>IF(ISNUMBER(Table1[[#This Row],[delivery_days]]),Table1[[#This Row],[delivery_days]],IFERROR(_xlfn.XLOOKUP(Table1[[#This Row],[delivery_days]],Table57[Original],Table57[Clean],,0,1),"Unknown"))</f>
        <v>Unknown</v>
      </c>
    </row>
    <row r="406" spans="1:23" x14ac:dyDescent="0.3">
      <c r="B406" t="str">
        <f>IF(ISBLANK(Table1[[#This Row],[order_id]]),"",IF(LEFT(Table1[[#This Row],[order_id]],3)="ORD",Table1[[#This Row],[order_id]],"ORD-" &amp; Table1[[#This Row],[order_id]]))</f>
        <v/>
      </c>
      <c r="C406" t="s">
        <v>938</v>
      </c>
      <c r="D406" s="1">
        <f>IFERROR(DATEVALUE(Table1[[#This Row],[order_date]]),"")</f>
        <v>45458</v>
      </c>
      <c r="F406" t="str">
        <f>IF(ISBLANK(Table1[[#This Row],[customer_name]]),"Unknown Customer",PROPER(SUBSTITUTE(Table1[[#This Row],[customer_name]],"Cust.","Customer")))</f>
        <v>Unknown Customer</v>
      </c>
      <c r="H406" t="str">
        <f>IFERROR(_xlfn.XLOOKUP(Table1[[#This Row],[region]],Mappings!$C$3:$C$8,Mappings!$D$3:$D$8,,0,1),"Unknown")</f>
        <v>Unknown</v>
      </c>
      <c r="I406" t="s">
        <v>27</v>
      </c>
      <c r="J406" t="str">
        <f>IFERROR(_xlfn.XLOOKUP(Table1[[#This Row],[sales_channel]],Table4[Original],Table4[Clean],,0,1),"Unknown")</f>
        <v>Online</v>
      </c>
      <c r="K406" t="s">
        <v>51</v>
      </c>
      <c r="L406" t="str">
        <f>IFERROR(_xlfn.XLOOKUP(Table1[[#This Row],[product]],Table3[Original],Table3[Product_clean],,0,1),"Unknown")</f>
        <v>Laptop</v>
      </c>
      <c r="M406" s="6">
        <v>1</v>
      </c>
      <c r="N406">
        <f>IF(ISNUMBER(Table1[[#This Row],[quantity]]),Table1[[#This Row],[quantity]],IFERROR(VLOOKUP(Table1[[#This Row],[quantity]],Table5[#All],2,FALSE),"Unknown"))</f>
        <v>1</v>
      </c>
      <c r="O406" t="s">
        <v>939</v>
      </c>
      <c r="P406">
        <f>IFERROR(VALUE(SUBSTITUTE(SUBSTITUTE(SUBSTITUTE(Table1[[#This Row],[revenue]],"EUR",""),"$",""),".",",")),"")</f>
        <v>94.45</v>
      </c>
      <c r="R406" t="str">
        <f>IF(OR(Table1[[#This Row],[currency]]="EUR",Table1[[#This Row],[currency]]="€"),"EUR",IF(OR(Table1[[#This Row],[currency]]="USD",Table1[[#This Row],[currency]]="$"),"USD","Unknown"))</f>
        <v>Unknown</v>
      </c>
      <c r="T406" t="str">
        <f>IFERROR(_xlfn.XLOOKUP(Table1[[#This Row],[order_status]],Table8[Original],Table8[Clean],,0,1),"Unknown")</f>
        <v>Unknown</v>
      </c>
      <c r="U406">
        <v>5</v>
      </c>
      <c r="V406">
        <f>IF(ISNUMBER(Table1[[#This Row],[delivery_days]]),Table1[[#This Row],[delivery_days]],IFERROR(_xlfn.XLOOKUP(Table1[[#This Row],[delivery_days]],Table57[Original],Table57[Clean],,0,1),"Unknown"))</f>
        <v>5</v>
      </c>
      <c r="W406" t="s">
        <v>37</v>
      </c>
    </row>
    <row r="407" spans="1:23" x14ac:dyDescent="0.3">
      <c r="A407">
        <v>1405</v>
      </c>
      <c r="B407" t="str">
        <f>IF(ISBLANK(Table1[[#This Row],[order_id]]),"",IF(LEFT(Table1[[#This Row],[order_id]],3)="ORD",Table1[[#This Row],[order_id]],"ORD-" &amp; Table1[[#This Row],[order_id]]))</f>
        <v>ORD-1405</v>
      </c>
      <c r="D407" s="1" t="str">
        <f>IFERROR(DATEVALUE(Table1[[#This Row],[order_date]]),"")</f>
        <v/>
      </c>
      <c r="E407" t="s">
        <v>940</v>
      </c>
      <c r="F407" t="str">
        <f>IF(ISBLANK(Table1[[#This Row],[customer_name]]),"Unknown Customer",PROPER(SUBSTITUTE(Table1[[#This Row],[customer_name]],"Cust.","Customer")))</f>
        <v>Customer 405</v>
      </c>
      <c r="H407" t="str">
        <f>IFERROR(_xlfn.XLOOKUP(Table1[[#This Row],[region]],Mappings!$C$3:$C$8,Mappings!$D$3:$D$8,,0,1),"Unknown")</f>
        <v>Unknown</v>
      </c>
      <c r="I407" t="s">
        <v>68</v>
      </c>
      <c r="J407" t="str">
        <f>IFERROR(_xlfn.XLOOKUP(Table1[[#This Row],[sales_channel]],Table4[Original],Table4[Clean],,0,1),"Unknown")</f>
        <v>Online</v>
      </c>
      <c r="K407" t="s">
        <v>102</v>
      </c>
      <c r="L407" t="str">
        <f>IFERROR(_xlfn.XLOOKUP(Table1[[#This Row],[product]],Table3[Original],Table3[Product_clean],,0,1),"Unknown")</f>
        <v>Phone</v>
      </c>
      <c r="M407" s="6">
        <v>1</v>
      </c>
      <c r="N407">
        <f>IF(ISNUMBER(Table1[[#This Row],[quantity]]),Table1[[#This Row],[quantity]],IFERROR(VLOOKUP(Table1[[#This Row],[quantity]],Table5[#All],2,FALSE),"Unknown"))</f>
        <v>1</v>
      </c>
      <c r="O407" t="s">
        <v>941</v>
      </c>
      <c r="P407">
        <f>IFERROR(VALUE(SUBSTITUTE(SUBSTITUTE(SUBSTITUTE(Table1[[#This Row],[revenue]],"EUR",""),"$",""),".",",")),"")</f>
        <v>2323.85</v>
      </c>
      <c r="Q407" t="s">
        <v>17</v>
      </c>
      <c r="R407" t="str">
        <f>IF(OR(Table1[[#This Row],[currency]]="EUR",Table1[[#This Row],[currency]]="€"),"EUR",IF(OR(Table1[[#This Row],[currency]]="USD",Table1[[#This Row],[currency]]="$"),"USD","Unknown"))</f>
        <v>EUR</v>
      </c>
      <c r="S407" t="s">
        <v>35</v>
      </c>
      <c r="T407" t="str">
        <f>IFERROR(_xlfn.XLOOKUP(Table1[[#This Row],[order_status]],Table8[Original],Table8[Clean],,0,1),"Unknown")</f>
        <v>Returned</v>
      </c>
      <c r="V407" t="str">
        <f>IF(ISNUMBER(Table1[[#This Row],[delivery_days]]),Table1[[#This Row],[delivery_days]],IFERROR(_xlfn.XLOOKUP(Table1[[#This Row],[delivery_days]],Table57[Original],Table57[Clean],,0,1),"Unknown"))</f>
        <v>Unknown</v>
      </c>
      <c r="W407" t="s">
        <v>37</v>
      </c>
    </row>
    <row r="408" spans="1:23" x14ac:dyDescent="0.3">
      <c r="A408">
        <v>1406</v>
      </c>
      <c r="B408" t="str">
        <f>IF(ISBLANK(Table1[[#This Row],[order_id]]),"",IF(LEFT(Table1[[#This Row],[order_id]],3)="ORD",Table1[[#This Row],[order_id]],"ORD-" &amp; Table1[[#This Row],[order_id]]))</f>
        <v>ORD-1406</v>
      </c>
      <c r="D408" s="1" t="str">
        <f>IFERROR(DATEVALUE(Table1[[#This Row],[order_date]]),"")</f>
        <v/>
      </c>
      <c r="E408" t="s">
        <v>942</v>
      </c>
      <c r="F408" t="str">
        <f>IF(ISBLANK(Table1[[#This Row],[customer_name]]),"Unknown Customer",PROPER(SUBSTITUTE(Table1[[#This Row],[customer_name]],"Cust.","Customer")))</f>
        <v>Customer 406</v>
      </c>
      <c r="G408" t="s">
        <v>26</v>
      </c>
      <c r="H408" t="str">
        <f>IFERROR(_xlfn.XLOOKUP(Table1[[#This Row],[region]],Mappings!$C$3:$C$8,Mappings!$D$3:$D$8,,0,1),"Unknown")</f>
        <v>Asia</v>
      </c>
      <c r="I408" t="s">
        <v>68</v>
      </c>
      <c r="J408" t="str">
        <f>IFERROR(_xlfn.XLOOKUP(Table1[[#This Row],[sales_channel]],Table4[Original],Table4[Clean],,0,1),"Unknown")</f>
        <v>Online</v>
      </c>
      <c r="L408" t="str">
        <f>IFERROR(_xlfn.XLOOKUP(Table1[[#This Row],[product]],Table3[Original],Table3[Product_clean],,0,1),"Unknown")</f>
        <v>Unknown</v>
      </c>
      <c r="M408" s="6">
        <v>3</v>
      </c>
      <c r="N408">
        <f>IF(ISNUMBER(Table1[[#This Row],[quantity]]),Table1[[#This Row],[quantity]],IFERROR(VLOOKUP(Table1[[#This Row],[quantity]],Table5[#All],2,FALSE),"Unknown"))</f>
        <v>3</v>
      </c>
      <c r="O408">
        <v>1632.24</v>
      </c>
      <c r="P408">
        <f>IFERROR(VALUE(SUBSTITUTE(SUBSTITUTE(SUBSTITUTE(Table1[[#This Row],[revenue]],"EUR",""),"$",""),".",",")),"")</f>
        <v>1632.24</v>
      </c>
      <c r="Q408" t="s">
        <v>22</v>
      </c>
      <c r="R408" t="str">
        <f>IF(OR(Table1[[#This Row],[currency]]="EUR",Table1[[#This Row],[currency]]="€"),"EUR",IF(OR(Table1[[#This Row],[currency]]="USD",Table1[[#This Row],[currency]]="$"),"USD","Unknown"))</f>
        <v>USD</v>
      </c>
      <c r="T408" t="str">
        <f>IFERROR(_xlfn.XLOOKUP(Table1[[#This Row],[order_status]],Table8[Original],Table8[Clean],,0,1),"Unknown")</f>
        <v>Unknown</v>
      </c>
      <c r="U408">
        <v>2</v>
      </c>
      <c r="V408">
        <f>IF(ISNUMBER(Table1[[#This Row],[delivery_days]]),Table1[[#This Row],[delivery_days]],IFERROR(_xlfn.XLOOKUP(Table1[[#This Row],[delivery_days]],Table57[Original],Table57[Clean],,0,1),"Unknown"))</f>
        <v>2</v>
      </c>
    </row>
    <row r="409" spans="1:23" x14ac:dyDescent="0.3">
      <c r="A409" t="s">
        <v>943</v>
      </c>
      <c r="B409" t="str">
        <f>IF(ISBLANK(Table1[[#This Row],[order_id]]),"",IF(LEFT(Table1[[#This Row],[order_id]],3)="ORD",Table1[[#This Row],[order_id]],"ORD-" &amp; Table1[[#This Row],[order_id]]))</f>
        <v>ORD-1407</v>
      </c>
      <c r="C409" t="s">
        <v>944</v>
      </c>
      <c r="D409" s="1">
        <f>IFERROR(DATEVALUE(Table1[[#This Row],[order_date]]),"")</f>
        <v>45644</v>
      </c>
      <c r="F409" t="str">
        <f>IF(ISBLANK(Table1[[#This Row],[customer_name]]),"Unknown Customer",PROPER(SUBSTITUTE(Table1[[#This Row],[customer_name]],"Cust.","Customer")))</f>
        <v>Unknown Customer</v>
      </c>
      <c r="H409" t="str">
        <f>IFERROR(_xlfn.XLOOKUP(Table1[[#This Row],[region]],Mappings!$C$3:$C$8,Mappings!$D$3:$D$8,,0,1),"Unknown")</f>
        <v>Unknown</v>
      </c>
      <c r="I409" t="s">
        <v>78</v>
      </c>
      <c r="J409" t="str">
        <f>IFERROR(_xlfn.XLOOKUP(Table1[[#This Row],[sales_channel]],Table4[Original],Table4[Clean],,0,1),"Unknown")</f>
        <v>Mobile</v>
      </c>
      <c r="K409" t="s">
        <v>33</v>
      </c>
      <c r="L409" t="str">
        <f>IFERROR(_xlfn.XLOOKUP(Table1[[#This Row],[product]],Table3[Original],Table3[Product_clean],,0,1),"Unknown")</f>
        <v>Tablet</v>
      </c>
      <c r="M409" s="6">
        <v>3</v>
      </c>
      <c r="N409">
        <f>IF(ISNUMBER(Table1[[#This Row],[quantity]]),Table1[[#This Row],[quantity]],IFERROR(VLOOKUP(Table1[[#This Row],[quantity]],Table5[#All],2,FALSE),"Unknown"))</f>
        <v>3</v>
      </c>
      <c r="O409" t="s">
        <v>945</v>
      </c>
      <c r="P409">
        <f>IFERROR(VALUE(SUBSTITUTE(SUBSTITUTE(SUBSTITUTE(Table1[[#This Row],[revenue]],"EUR",""),"$",""),".",",")),"")</f>
        <v>1164.42</v>
      </c>
      <c r="R409" t="str">
        <f>IF(OR(Table1[[#This Row],[currency]]="EUR",Table1[[#This Row],[currency]]="€"),"EUR",IF(OR(Table1[[#This Row],[currency]]="USD",Table1[[#This Row],[currency]]="$"),"USD","Unknown"))</f>
        <v>Unknown</v>
      </c>
      <c r="T409" t="str">
        <f>IFERROR(_xlfn.XLOOKUP(Table1[[#This Row],[order_status]],Table8[Original],Table8[Clean],,0,1),"Unknown")</f>
        <v>Unknown</v>
      </c>
      <c r="U409">
        <v>5</v>
      </c>
      <c r="V409">
        <f>IF(ISNUMBER(Table1[[#This Row],[delivery_days]]),Table1[[#This Row],[delivery_days]],IFERROR(_xlfn.XLOOKUP(Table1[[#This Row],[delivery_days]],Table57[Original],Table57[Clean],,0,1),"Unknown"))</f>
        <v>5</v>
      </c>
      <c r="W409" t="s">
        <v>37</v>
      </c>
    </row>
    <row r="410" spans="1:23" x14ac:dyDescent="0.3">
      <c r="A410" t="s">
        <v>946</v>
      </c>
      <c r="B410" t="str">
        <f>IF(ISBLANK(Table1[[#This Row],[order_id]]),"",IF(LEFT(Table1[[#This Row],[order_id]],3)="ORD",Table1[[#This Row],[order_id]],"ORD-" &amp; Table1[[#This Row],[order_id]]))</f>
        <v>ORD-1408</v>
      </c>
      <c r="D410" s="1" t="str">
        <f>IFERROR(DATEVALUE(Table1[[#This Row],[order_date]]),"")</f>
        <v/>
      </c>
      <c r="E410" t="s">
        <v>947</v>
      </c>
      <c r="F410" t="str">
        <f>IF(ISBLANK(Table1[[#This Row],[customer_name]]),"Unknown Customer",PROPER(SUBSTITUTE(Table1[[#This Row],[customer_name]],"Cust.","Customer")))</f>
        <v>Customer 408</v>
      </c>
      <c r="H410" t="str">
        <f>IFERROR(_xlfn.XLOOKUP(Table1[[#This Row],[region]],Mappings!$C$3:$C$8,Mappings!$D$3:$D$8,,0,1),"Unknown")</f>
        <v>Unknown</v>
      </c>
      <c r="I410" t="s">
        <v>68</v>
      </c>
      <c r="J410" t="str">
        <f>IFERROR(_xlfn.XLOOKUP(Table1[[#This Row],[sales_channel]],Table4[Original],Table4[Clean],,0,1),"Unknown")</f>
        <v>Online</v>
      </c>
      <c r="L410" t="str">
        <f>IFERROR(_xlfn.XLOOKUP(Table1[[#This Row],[product]],Table3[Original],Table3[Product_clean],,0,1),"Unknown")</f>
        <v>Unknown</v>
      </c>
      <c r="M410" s="6"/>
      <c r="N410" t="str">
        <f>IF(ISNUMBER(Table1[[#This Row],[quantity]]),Table1[[#This Row],[quantity]],IFERROR(VLOOKUP(Table1[[#This Row],[quantity]],Table5[#All],2,FALSE),"Unknown"))</f>
        <v>Unknown</v>
      </c>
      <c r="O410" t="s">
        <v>948</v>
      </c>
      <c r="P410">
        <f>IFERROR(VALUE(SUBSTITUTE(SUBSTITUTE(SUBSTITUTE(Table1[[#This Row],[revenue]],"EUR",""),"$",""),".",",")),"")</f>
        <v>600.54999999999995</v>
      </c>
      <c r="Q410" t="s">
        <v>58</v>
      </c>
      <c r="R410" t="str">
        <f>IF(OR(Table1[[#This Row],[currency]]="EUR",Table1[[#This Row],[currency]]="€"),"EUR",IF(OR(Table1[[#This Row],[currency]]="USD",Table1[[#This Row],[currency]]="$"),"USD","Unknown"))</f>
        <v>USD</v>
      </c>
      <c r="S410" t="s">
        <v>30</v>
      </c>
      <c r="T410" t="str">
        <f>IFERROR(_xlfn.XLOOKUP(Table1[[#This Row],[order_status]],Table8[Original],Table8[Clean],,0,1),"Unknown")</f>
        <v>Delivered</v>
      </c>
      <c r="U410" t="s">
        <v>36</v>
      </c>
      <c r="V410">
        <f>IF(ISNUMBER(Table1[[#This Row],[delivery_days]]),Table1[[#This Row],[delivery_days]],IFERROR(_xlfn.XLOOKUP(Table1[[#This Row],[delivery_days]],Table57[Original],Table57[Clean],,0,1),"Unknown"))</f>
        <v>5</v>
      </c>
      <c r="W410" t="s">
        <v>37</v>
      </c>
    </row>
    <row r="411" spans="1:23" x14ac:dyDescent="0.3">
      <c r="B411" t="str">
        <f>IF(ISBLANK(Table1[[#This Row],[order_id]]),"",IF(LEFT(Table1[[#This Row],[order_id]],3)="ORD",Table1[[#This Row],[order_id]],"ORD-" &amp; Table1[[#This Row],[order_id]]))</f>
        <v/>
      </c>
      <c r="C411" t="s">
        <v>949</v>
      </c>
      <c r="D411" s="1" t="str">
        <f>IFERROR(DATEVALUE(Table1[[#This Row],[order_date]]),"")</f>
        <v/>
      </c>
      <c r="F411" t="str">
        <f>IF(ISBLANK(Table1[[#This Row],[customer_name]]),"Unknown Customer",PROPER(SUBSTITUTE(Table1[[#This Row],[customer_name]],"Cust.","Customer")))</f>
        <v>Unknown Customer</v>
      </c>
      <c r="G411" t="s">
        <v>73</v>
      </c>
      <c r="H411" t="str">
        <f>IFERROR(_xlfn.XLOOKUP(Table1[[#This Row],[region]],Mappings!$C$3:$C$8,Mappings!$D$3:$D$8,,0,1),"Unknown")</f>
        <v>Europe</v>
      </c>
      <c r="J411" t="str">
        <f>IFERROR(_xlfn.XLOOKUP(Table1[[#This Row],[sales_channel]],Table4[Original],Table4[Clean],,0,1),"Unknown")</f>
        <v>Unknown</v>
      </c>
      <c r="K411" t="s">
        <v>33</v>
      </c>
      <c r="L411" t="str">
        <f>IFERROR(_xlfn.XLOOKUP(Table1[[#This Row],[product]],Table3[Original],Table3[Product_clean],,0,1),"Unknown")</f>
        <v>Tablet</v>
      </c>
      <c r="M411" s="6" t="s">
        <v>83</v>
      </c>
      <c r="N411">
        <f>IF(ISNUMBER(Table1[[#This Row],[quantity]]),Table1[[#This Row],[quantity]],IFERROR(VLOOKUP(Table1[[#This Row],[quantity]],Table5[#All],2,FALSE),"Unknown"))</f>
        <v>2</v>
      </c>
      <c r="O411" t="s">
        <v>950</v>
      </c>
      <c r="P411">
        <f>IFERROR(VALUE(SUBSTITUTE(SUBSTITUTE(SUBSTITUTE(Table1[[#This Row],[revenue]],"EUR",""),"$",""),".",",")),"")</f>
        <v>922.23</v>
      </c>
      <c r="Q411" t="s">
        <v>58</v>
      </c>
      <c r="R411" t="str">
        <f>IF(OR(Table1[[#This Row],[currency]]="EUR",Table1[[#This Row],[currency]]="€"),"EUR",IF(OR(Table1[[#This Row],[currency]]="USD",Table1[[#This Row],[currency]]="$"),"USD","Unknown"))</f>
        <v>USD</v>
      </c>
      <c r="S411" t="s">
        <v>30</v>
      </c>
      <c r="T411" t="str">
        <f>IFERROR(_xlfn.XLOOKUP(Table1[[#This Row],[order_status]],Table8[Original],Table8[Clean],,0,1),"Unknown")</f>
        <v>Delivered</v>
      </c>
      <c r="U411" t="s">
        <v>36</v>
      </c>
      <c r="V411">
        <f>IF(ISNUMBER(Table1[[#This Row],[delivery_days]]),Table1[[#This Row],[delivery_days]],IFERROR(_xlfn.XLOOKUP(Table1[[#This Row],[delivery_days]],Table57[Original],Table57[Clean],,0,1),"Unknown"))</f>
        <v>5</v>
      </c>
      <c r="W411" t="s">
        <v>24</v>
      </c>
    </row>
    <row r="412" spans="1:23" x14ac:dyDescent="0.3">
      <c r="B412" t="str">
        <f>IF(ISBLANK(Table1[[#This Row],[order_id]]),"",IF(LEFT(Table1[[#This Row],[order_id]],3)="ORD",Table1[[#This Row],[order_id]],"ORD-" &amp; Table1[[#This Row],[order_id]]))</f>
        <v/>
      </c>
      <c r="C412" t="s">
        <v>951</v>
      </c>
      <c r="D412" s="1">
        <f>IFERROR(DATEVALUE(Table1[[#This Row],[order_date]]),"")</f>
        <v>45689</v>
      </c>
      <c r="F412" t="str">
        <f>IF(ISBLANK(Table1[[#This Row],[customer_name]]),"Unknown Customer",PROPER(SUBSTITUTE(Table1[[#This Row],[customer_name]],"Cust.","Customer")))</f>
        <v>Unknown Customer</v>
      </c>
      <c r="G412" t="s">
        <v>54</v>
      </c>
      <c r="H412" t="str">
        <f>IFERROR(_xlfn.XLOOKUP(Table1[[#This Row],[region]],Mappings!$C$3:$C$8,Mappings!$D$3:$D$8,,0,1),"Unknown")</f>
        <v>USA</v>
      </c>
      <c r="I412" t="s">
        <v>68</v>
      </c>
      <c r="J412" t="str">
        <f>IFERROR(_xlfn.XLOOKUP(Table1[[#This Row],[sales_channel]],Table4[Original],Table4[Clean],,0,1),"Unknown")</f>
        <v>Online</v>
      </c>
      <c r="K412" t="s">
        <v>15</v>
      </c>
      <c r="L412" t="str">
        <f>IFERROR(_xlfn.XLOOKUP(Table1[[#This Row],[product]],Table3[Original],Table3[Product_clean],,0,1),"Unknown")</f>
        <v>Tablet</v>
      </c>
      <c r="M412" s="6" t="s">
        <v>83</v>
      </c>
      <c r="N412">
        <f>IF(ISNUMBER(Table1[[#This Row],[quantity]]),Table1[[#This Row],[quantity]],IFERROR(VLOOKUP(Table1[[#This Row],[quantity]],Table5[#All],2,FALSE),"Unknown"))</f>
        <v>2</v>
      </c>
      <c r="O412" t="s">
        <v>952</v>
      </c>
      <c r="P412">
        <f>IFERROR(VALUE(SUBSTITUTE(SUBSTITUTE(SUBSTITUTE(Table1[[#This Row],[revenue]],"EUR",""),"$",""),".",",")),"")</f>
        <v>1879.58</v>
      </c>
      <c r="R412" t="str">
        <f>IF(OR(Table1[[#This Row],[currency]]="EUR",Table1[[#This Row],[currency]]="€"),"EUR",IF(OR(Table1[[#This Row],[currency]]="USD",Table1[[#This Row],[currency]]="$"),"USD","Unknown"))</f>
        <v>Unknown</v>
      </c>
      <c r="S412" t="s">
        <v>23</v>
      </c>
      <c r="T412" t="str">
        <f>IFERROR(_xlfn.XLOOKUP(Table1[[#This Row],[order_status]],Table8[Original],Table8[Clean],,0,1),"Unknown")</f>
        <v>Delivered</v>
      </c>
      <c r="U412" t="s">
        <v>36</v>
      </c>
      <c r="V412">
        <f>IF(ISNUMBER(Table1[[#This Row],[delivery_days]]),Table1[[#This Row],[delivery_days]],IFERROR(_xlfn.XLOOKUP(Table1[[#This Row],[delivery_days]],Table57[Original],Table57[Clean],,0,1),"Unknown"))</f>
        <v>5</v>
      </c>
      <c r="W412" t="s">
        <v>24</v>
      </c>
    </row>
    <row r="413" spans="1:23" x14ac:dyDescent="0.3">
      <c r="A413">
        <v>1411</v>
      </c>
      <c r="B413" t="str">
        <f>IF(ISBLANK(Table1[[#This Row],[order_id]]),"",IF(LEFT(Table1[[#This Row],[order_id]],3)="ORD",Table1[[#This Row],[order_id]],"ORD-" &amp; Table1[[#This Row],[order_id]]))</f>
        <v>ORD-1411</v>
      </c>
      <c r="C413" t="s">
        <v>953</v>
      </c>
      <c r="D413" s="1">
        <f>IFERROR(DATEVALUE(Table1[[#This Row],[order_date]]),"")</f>
        <v>45457</v>
      </c>
      <c r="E413" t="s">
        <v>954</v>
      </c>
      <c r="F413" t="str">
        <f>IF(ISBLANK(Table1[[#This Row],[customer_name]]),"Unknown Customer",PROPER(SUBSTITUTE(Table1[[#This Row],[customer_name]],"Cust.","Customer")))</f>
        <v>Customer 411</v>
      </c>
      <c r="G413" t="s">
        <v>73</v>
      </c>
      <c r="H413" t="str">
        <f>IFERROR(_xlfn.XLOOKUP(Table1[[#This Row],[region]],Mappings!$C$3:$C$8,Mappings!$D$3:$D$8,,0,1),"Unknown")</f>
        <v>Europe</v>
      </c>
      <c r="I413" t="s">
        <v>27</v>
      </c>
      <c r="J413" t="str">
        <f>IFERROR(_xlfn.XLOOKUP(Table1[[#This Row],[sales_channel]],Table4[Original],Table4[Clean],,0,1),"Unknown")</f>
        <v>Online</v>
      </c>
      <c r="K413" t="s">
        <v>28</v>
      </c>
      <c r="L413" t="str">
        <f>IFERROR(_xlfn.XLOOKUP(Table1[[#This Row],[product]],Table3[Original],Table3[Product_clean],,0,1),"Unknown")</f>
        <v>Laptop</v>
      </c>
      <c r="M413" s="6">
        <v>1</v>
      </c>
      <c r="N413">
        <f>IF(ISNUMBER(Table1[[#This Row],[quantity]]),Table1[[#This Row],[quantity]],IFERROR(VLOOKUP(Table1[[#This Row],[quantity]],Table5[#All],2,FALSE),"Unknown"))</f>
        <v>1</v>
      </c>
      <c r="O413" t="s">
        <v>955</v>
      </c>
      <c r="P413">
        <f>IFERROR(VALUE(SUBSTITUTE(SUBSTITUTE(SUBSTITUTE(Table1[[#This Row],[revenue]],"EUR",""),"$",""),".",",")),"")</f>
        <v>1258.92</v>
      </c>
      <c r="Q413" t="s">
        <v>58</v>
      </c>
      <c r="R413" t="str">
        <f>IF(OR(Table1[[#This Row],[currency]]="EUR",Table1[[#This Row],[currency]]="€"),"EUR",IF(OR(Table1[[#This Row],[currency]]="USD",Table1[[#This Row],[currency]]="$"),"USD","Unknown"))</f>
        <v>USD</v>
      </c>
      <c r="S413" t="s">
        <v>30</v>
      </c>
      <c r="T413" t="str">
        <f>IFERROR(_xlfn.XLOOKUP(Table1[[#This Row],[order_status]],Table8[Original],Table8[Clean],,0,1),"Unknown")</f>
        <v>Delivered</v>
      </c>
      <c r="U413">
        <v>5</v>
      </c>
      <c r="V413">
        <f>IF(ISNUMBER(Table1[[#This Row],[delivery_days]]),Table1[[#This Row],[delivery_days]],IFERROR(_xlfn.XLOOKUP(Table1[[#This Row],[delivery_days]],Table57[Original],Table57[Clean],,0,1),"Unknown"))</f>
        <v>5</v>
      </c>
      <c r="W413" t="s">
        <v>37</v>
      </c>
    </row>
    <row r="414" spans="1:23" x14ac:dyDescent="0.3">
      <c r="B414" t="str">
        <f>IF(ISBLANK(Table1[[#This Row],[order_id]]),"",IF(LEFT(Table1[[#This Row],[order_id]],3)="ORD",Table1[[#This Row],[order_id]],"ORD-" &amp; Table1[[#This Row],[order_id]]))</f>
        <v/>
      </c>
      <c r="D414" s="1" t="str">
        <f>IFERROR(DATEVALUE(Table1[[#This Row],[order_date]]),"")</f>
        <v/>
      </c>
      <c r="E414" t="s">
        <v>956</v>
      </c>
      <c r="F414" t="str">
        <f>IF(ISBLANK(Table1[[#This Row],[customer_name]]),"Unknown Customer",PROPER(SUBSTITUTE(Table1[[#This Row],[customer_name]],"Cust.","Customer")))</f>
        <v>Customer 412</v>
      </c>
      <c r="G414" t="s">
        <v>73</v>
      </c>
      <c r="H414" t="str">
        <f>IFERROR(_xlfn.XLOOKUP(Table1[[#This Row],[region]],Mappings!$C$3:$C$8,Mappings!$D$3:$D$8,,0,1),"Unknown")</f>
        <v>Europe</v>
      </c>
      <c r="I414" t="s">
        <v>50</v>
      </c>
      <c r="J414" t="str">
        <f>IFERROR(_xlfn.XLOOKUP(Table1[[#This Row],[sales_channel]],Table4[Original],Table4[Clean],,0,1),"Unknown")</f>
        <v>Mobile</v>
      </c>
      <c r="K414" t="s">
        <v>28</v>
      </c>
      <c r="L414" t="str">
        <f>IFERROR(_xlfn.XLOOKUP(Table1[[#This Row],[product]],Table3[Original],Table3[Product_clean],,0,1),"Unknown")</f>
        <v>Laptop</v>
      </c>
      <c r="M414" s="6"/>
      <c r="N414" t="str">
        <f>IF(ISNUMBER(Table1[[#This Row],[quantity]]),Table1[[#This Row],[quantity]],IFERROR(VLOOKUP(Table1[[#This Row],[quantity]],Table5[#All],2,FALSE),"Unknown"))</f>
        <v>Unknown</v>
      </c>
      <c r="P414" t="str">
        <f>IFERROR(VALUE(SUBSTITUTE(SUBSTITUTE(SUBSTITUTE(Table1[[#This Row],[revenue]],"EUR",""),"$",""),".",",")),"")</f>
        <v/>
      </c>
      <c r="Q414" t="s">
        <v>17</v>
      </c>
      <c r="R414" t="str">
        <f>IF(OR(Table1[[#This Row],[currency]]="EUR",Table1[[#This Row],[currency]]="€"),"EUR",IF(OR(Table1[[#This Row],[currency]]="USD",Table1[[#This Row],[currency]]="$"),"USD","Unknown"))</f>
        <v>EUR</v>
      </c>
      <c r="S414" t="s">
        <v>30</v>
      </c>
      <c r="T414" t="str">
        <f>IFERROR(_xlfn.XLOOKUP(Table1[[#This Row],[order_status]],Table8[Original],Table8[Clean],,0,1),"Unknown")</f>
        <v>Delivered</v>
      </c>
      <c r="U414">
        <v>2</v>
      </c>
      <c r="V414">
        <f>IF(ISNUMBER(Table1[[#This Row],[delivery_days]]),Table1[[#This Row],[delivery_days]],IFERROR(_xlfn.XLOOKUP(Table1[[#This Row],[delivery_days]],Table57[Original],Table57[Clean],,0,1),"Unknown"))</f>
        <v>2</v>
      </c>
    </row>
    <row r="415" spans="1:23" x14ac:dyDescent="0.3">
      <c r="A415" t="s">
        <v>957</v>
      </c>
      <c r="B415" t="str">
        <f>IF(ISBLANK(Table1[[#This Row],[order_id]]),"",IF(LEFT(Table1[[#This Row],[order_id]],3)="ORD",Table1[[#This Row],[order_id]],"ORD-" &amp; Table1[[#This Row],[order_id]]))</f>
        <v>ORD-1413</v>
      </c>
      <c r="D415" s="1" t="str">
        <f>IFERROR(DATEVALUE(Table1[[#This Row],[order_date]]),"")</f>
        <v/>
      </c>
      <c r="E415" t="s">
        <v>958</v>
      </c>
      <c r="F415" t="str">
        <f>IF(ISBLANK(Table1[[#This Row],[customer_name]]),"Unknown Customer",PROPER(SUBSTITUTE(Table1[[#This Row],[customer_name]],"Cust.","Customer")))</f>
        <v>Customer 413</v>
      </c>
      <c r="H415" t="str">
        <f>IFERROR(_xlfn.XLOOKUP(Table1[[#This Row],[region]],Mappings!$C$3:$C$8,Mappings!$D$3:$D$8,,0,1),"Unknown")</f>
        <v>Unknown</v>
      </c>
      <c r="J415" t="str">
        <f>IFERROR(_xlfn.XLOOKUP(Table1[[#This Row],[sales_channel]],Table4[Original],Table4[Clean],,0,1),"Unknown")</f>
        <v>Unknown</v>
      </c>
      <c r="K415" t="s">
        <v>51</v>
      </c>
      <c r="L415" t="str">
        <f>IFERROR(_xlfn.XLOOKUP(Table1[[#This Row],[product]],Table3[Original],Table3[Product_clean],,0,1),"Unknown")</f>
        <v>Laptop</v>
      </c>
      <c r="M415" s="6"/>
      <c r="N415" t="str">
        <f>IF(ISNUMBER(Table1[[#This Row],[quantity]]),Table1[[#This Row],[quantity]],IFERROR(VLOOKUP(Table1[[#This Row],[quantity]],Table5[#All],2,FALSE),"Unknown"))</f>
        <v>Unknown</v>
      </c>
      <c r="O415">
        <v>1430.77</v>
      </c>
      <c r="P415">
        <f>IFERROR(VALUE(SUBSTITUTE(SUBSTITUTE(SUBSTITUTE(Table1[[#This Row],[revenue]],"EUR",""),"$",""),".",",")),"")</f>
        <v>1430.77</v>
      </c>
      <c r="Q415" t="s">
        <v>55</v>
      </c>
      <c r="R415" t="str">
        <f>IF(OR(Table1[[#This Row],[currency]]="EUR",Table1[[#This Row],[currency]]="€"),"EUR",IF(OR(Table1[[#This Row],[currency]]="USD",Table1[[#This Row],[currency]]="$"),"USD","Unknown"))</f>
        <v>EUR</v>
      </c>
      <c r="S415" t="s">
        <v>18</v>
      </c>
      <c r="T415" t="str">
        <f>IFERROR(_xlfn.XLOOKUP(Table1[[#This Row],[order_status]],Table8[Original],Table8[Clean],,0,1),"Unknown")</f>
        <v>Pending</v>
      </c>
      <c r="U415">
        <v>1</v>
      </c>
      <c r="V415">
        <f>IF(ISNUMBER(Table1[[#This Row],[delivery_days]]),Table1[[#This Row],[delivery_days]],IFERROR(_xlfn.XLOOKUP(Table1[[#This Row],[delivery_days]],Table57[Original],Table57[Clean],,0,1),"Unknown"))</f>
        <v>1</v>
      </c>
    </row>
    <row r="416" spans="1:23" x14ac:dyDescent="0.3">
      <c r="B416" t="str">
        <f>IF(ISBLANK(Table1[[#This Row],[order_id]]),"",IF(LEFT(Table1[[#This Row],[order_id]],3)="ORD",Table1[[#This Row],[order_id]],"ORD-" &amp; Table1[[#This Row],[order_id]]))</f>
        <v/>
      </c>
      <c r="C416" t="s">
        <v>959</v>
      </c>
      <c r="D416" s="1">
        <f>IFERROR(DATEVALUE(Table1[[#This Row],[order_date]]),"")</f>
        <v>45447</v>
      </c>
      <c r="E416" t="s">
        <v>960</v>
      </c>
      <c r="F416" t="str">
        <f>IF(ISBLANK(Table1[[#This Row],[customer_name]]),"Unknown Customer",PROPER(SUBSTITUTE(Table1[[#This Row],[customer_name]],"Cust.","Customer")))</f>
        <v>Customer 414</v>
      </c>
      <c r="H416" t="str">
        <f>IFERROR(_xlfn.XLOOKUP(Table1[[#This Row],[region]],Mappings!$C$3:$C$8,Mappings!$D$3:$D$8,,0,1),"Unknown")</f>
        <v>Unknown</v>
      </c>
      <c r="I416" t="s">
        <v>27</v>
      </c>
      <c r="J416" t="str">
        <f>IFERROR(_xlfn.XLOOKUP(Table1[[#This Row],[sales_channel]],Table4[Original],Table4[Clean],,0,1),"Unknown")</f>
        <v>Online</v>
      </c>
      <c r="K416" t="s">
        <v>33</v>
      </c>
      <c r="L416" t="str">
        <f>IFERROR(_xlfn.XLOOKUP(Table1[[#This Row],[product]],Table3[Original],Table3[Product_clean],,0,1),"Unknown")</f>
        <v>Tablet</v>
      </c>
      <c r="M416" s="6" t="s">
        <v>83</v>
      </c>
      <c r="N416">
        <f>IF(ISNUMBER(Table1[[#This Row],[quantity]]),Table1[[#This Row],[quantity]],IFERROR(VLOOKUP(Table1[[#This Row],[quantity]],Table5[#All],2,FALSE),"Unknown"))</f>
        <v>2</v>
      </c>
      <c r="O416" t="s">
        <v>961</v>
      </c>
      <c r="P416">
        <f>IFERROR(VALUE(SUBSTITUTE(SUBSTITUTE(SUBSTITUTE(Table1[[#This Row],[revenue]],"EUR",""),"$",""),".",",")),"")</f>
        <v>279.91000000000003</v>
      </c>
      <c r="Q416" t="s">
        <v>58</v>
      </c>
      <c r="R416" t="str">
        <f>IF(OR(Table1[[#This Row],[currency]]="EUR",Table1[[#This Row],[currency]]="€"),"EUR",IF(OR(Table1[[#This Row],[currency]]="USD",Table1[[#This Row],[currency]]="$"),"USD","Unknown"))</f>
        <v>USD</v>
      </c>
      <c r="S416" t="s">
        <v>23</v>
      </c>
      <c r="T416" t="str">
        <f>IFERROR(_xlfn.XLOOKUP(Table1[[#This Row],[order_status]],Table8[Original],Table8[Clean],,0,1),"Unknown")</f>
        <v>Delivered</v>
      </c>
      <c r="U416" t="s">
        <v>36</v>
      </c>
      <c r="V416">
        <f>IF(ISNUMBER(Table1[[#This Row],[delivery_days]]),Table1[[#This Row],[delivery_days]],IFERROR(_xlfn.XLOOKUP(Table1[[#This Row],[delivery_days]],Table57[Original],Table57[Clean],,0,1),"Unknown"))</f>
        <v>5</v>
      </c>
      <c r="W416" t="s">
        <v>37</v>
      </c>
    </row>
    <row r="417" spans="1:23" x14ac:dyDescent="0.3">
      <c r="B417" t="str">
        <f>IF(ISBLANK(Table1[[#This Row],[order_id]]),"",IF(LEFT(Table1[[#This Row],[order_id]],3)="ORD",Table1[[#This Row],[order_id]],"ORD-" &amp; Table1[[#This Row],[order_id]]))</f>
        <v/>
      </c>
      <c r="D417" s="1" t="str">
        <f>IFERROR(DATEVALUE(Table1[[#This Row],[order_date]]),"")</f>
        <v/>
      </c>
      <c r="E417" t="s">
        <v>962</v>
      </c>
      <c r="F417" t="str">
        <f>IF(ISBLANK(Table1[[#This Row],[customer_name]]),"Unknown Customer",PROPER(SUBSTITUTE(Table1[[#This Row],[customer_name]],"Cust.","Customer")))</f>
        <v>Customer 415</v>
      </c>
      <c r="H417" t="str">
        <f>IFERROR(_xlfn.XLOOKUP(Table1[[#This Row],[region]],Mappings!$C$3:$C$8,Mappings!$D$3:$D$8,,0,1),"Unknown")</f>
        <v>Unknown</v>
      </c>
      <c r="J417" t="str">
        <f>IFERROR(_xlfn.XLOOKUP(Table1[[#This Row],[sales_channel]],Table4[Original],Table4[Clean],,0,1),"Unknown")</f>
        <v>Unknown</v>
      </c>
      <c r="K417" t="s">
        <v>33</v>
      </c>
      <c r="L417" t="str">
        <f>IFERROR(_xlfn.XLOOKUP(Table1[[#This Row],[product]],Table3[Original],Table3[Product_clean],,0,1),"Unknown")</f>
        <v>Tablet</v>
      </c>
      <c r="M417" s="6">
        <v>3</v>
      </c>
      <c r="N417">
        <f>IF(ISNUMBER(Table1[[#This Row],[quantity]]),Table1[[#This Row],[quantity]],IFERROR(VLOOKUP(Table1[[#This Row],[quantity]],Table5[#All],2,FALSE),"Unknown"))</f>
        <v>3</v>
      </c>
      <c r="O417" t="s">
        <v>963</v>
      </c>
      <c r="P417">
        <f>IFERROR(VALUE(SUBSTITUTE(SUBSTITUTE(SUBSTITUTE(Table1[[#This Row],[revenue]],"EUR",""),"$",""),".",",")),"")</f>
        <v>1894.71</v>
      </c>
      <c r="Q417" t="s">
        <v>22</v>
      </c>
      <c r="R417" t="str">
        <f>IF(OR(Table1[[#This Row],[currency]]="EUR",Table1[[#This Row],[currency]]="€"),"EUR",IF(OR(Table1[[#This Row],[currency]]="USD",Table1[[#This Row],[currency]]="$"),"USD","Unknown"))</f>
        <v>USD</v>
      </c>
      <c r="T417" t="str">
        <f>IFERROR(_xlfn.XLOOKUP(Table1[[#This Row],[order_status]],Table8[Original],Table8[Clean],,0,1),"Unknown")</f>
        <v>Unknown</v>
      </c>
      <c r="V417" t="str">
        <f>IF(ISNUMBER(Table1[[#This Row],[delivery_days]]),Table1[[#This Row],[delivery_days]],IFERROR(_xlfn.XLOOKUP(Table1[[#This Row],[delivery_days]],Table57[Original],Table57[Clean],,0,1),"Unknown"))</f>
        <v>Unknown</v>
      </c>
    </row>
    <row r="418" spans="1:23" x14ac:dyDescent="0.3">
      <c r="B418" t="str">
        <f>IF(ISBLANK(Table1[[#This Row],[order_id]]),"",IF(LEFT(Table1[[#This Row],[order_id]],3)="ORD",Table1[[#This Row],[order_id]],"ORD-" &amp; Table1[[#This Row],[order_id]]))</f>
        <v/>
      </c>
      <c r="D418" s="1" t="str">
        <f>IFERROR(DATEVALUE(Table1[[#This Row],[order_date]]),"")</f>
        <v/>
      </c>
      <c r="E418" t="s">
        <v>964</v>
      </c>
      <c r="F418" t="str">
        <f>IF(ISBLANK(Table1[[#This Row],[customer_name]]),"Unknown Customer",PROPER(SUBSTITUTE(Table1[[#This Row],[customer_name]],"Cust.","Customer")))</f>
        <v>Customer 416</v>
      </c>
      <c r="H418" t="str">
        <f>IFERROR(_xlfn.XLOOKUP(Table1[[#This Row],[region]],Mappings!$C$3:$C$8,Mappings!$D$3:$D$8,,0,1),"Unknown")</f>
        <v>Unknown</v>
      </c>
      <c r="I418" t="s">
        <v>27</v>
      </c>
      <c r="J418" t="str">
        <f>IFERROR(_xlfn.XLOOKUP(Table1[[#This Row],[sales_channel]],Table4[Original],Table4[Clean],,0,1),"Unknown")</f>
        <v>Online</v>
      </c>
      <c r="K418" t="s">
        <v>33</v>
      </c>
      <c r="L418" t="str">
        <f>IFERROR(_xlfn.XLOOKUP(Table1[[#This Row],[product]],Table3[Original],Table3[Product_clean],,0,1),"Unknown")</f>
        <v>Tablet</v>
      </c>
      <c r="M418" s="6"/>
      <c r="N418" t="str">
        <f>IF(ISNUMBER(Table1[[#This Row],[quantity]]),Table1[[#This Row],[quantity]],IFERROR(VLOOKUP(Table1[[#This Row],[quantity]],Table5[#All],2,FALSE),"Unknown"))</f>
        <v>Unknown</v>
      </c>
      <c r="O418" t="s">
        <v>965</v>
      </c>
      <c r="P418">
        <f>IFERROR(VALUE(SUBSTITUTE(SUBSTITUTE(SUBSTITUTE(Table1[[#This Row],[revenue]],"EUR",""),"$",""),".",",")),"")</f>
        <v>542.09</v>
      </c>
      <c r="Q418" t="s">
        <v>22</v>
      </c>
      <c r="R418" t="str">
        <f>IF(OR(Table1[[#This Row],[currency]]="EUR",Table1[[#This Row],[currency]]="€"),"EUR",IF(OR(Table1[[#This Row],[currency]]="USD",Table1[[#This Row],[currency]]="$"),"USD","Unknown"))</f>
        <v>USD</v>
      </c>
      <c r="S418" t="s">
        <v>35</v>
      </c>
      <c r="T418" t="str">
        <f>IFERROR(_xlfn.XLOOKUP(Table1[[#This Row],[order_status]],Table8[Original],Table8[Clean],,0,1),"Unknown")</f>
        <v>Returned</v>
      </c>
      <c r="U418">
        <v>3</v>
      </c>
      <c r="V418">
        <f>IF(ISNUMBER(Table1[[#This Row],[delivery_days]]),Table1[[#This Row],[delivery_days]],IFERROR(_xlfn.XLOOKUP(Table1[[#This Row],[delivery_days]],Table57[Original],Table57[Clean],,0,1),"Unknown"))</f>
        <v>3</v>
      </c>
      <c r="W418" t="s">
        <v>24</v>
      </c>
    </row>
    <row r="419" spans="1:23" x14ac:dyDescent="0.3">
      <c r="B419" t="str">
        <f>IF(ISBLANK(Table1[[#This Row],[order_id]]),"",IF(LEFT(Table1[[#This Row],[order_id]],3)="ORD",Table1[[#This Row],[order_id]],"ORD-" &amp; Table1[[#This Row],[order_id]]))</f>
        <v/>
      </c>
      <c r="C419" t="s">
        <v>678</v>
      </c>
      <c r="D419" s="1">
        <f>IFERROR(DATEVALUE(Table1[[#This Row],[order_date]]),"")</f>
        <v>45542</v>
      </c>
      <c r="E419" t="s">
        <v>966</v>
      </c>
      <c r="F419" t="str">
        <f>IF(ISBLANK(Table1[[#This Row],[customer_name]]),"Unknown Customer",PROPER(SUBSTITUTE(Table1[[#This Row],[customer_name]],"Cust.","Customer")))</f>
        <v>Customer 417</v>
      </c>
      <c r="G419" t="s">
        <v>45</v>
      </c>
      <c r="H419" t="str">
        <f>IFERROR(_xlfn.XLOOKUP(Table1[[#This Row],[region]],Mappings!$C$3:$C$8,Mappings!$D$3:$D$8,,0,1),"Unknown")</f>
        <v>USA</v>
      </c>
      <c r="I419" t="s">
        <v>68</v>
      </c>
      <c r="J419" t="str">
        <f>IFERROR(_xlfn.XLOOKUP(Table1[[#This Row],[sales_channel]],Table4[Original],Table4[Clean],,0,1),"Unknown")</f>
        <v>Online</v>
      </c>
      <c r="K419" t="s">
        <v>28</v>
      </c>
      <c r="L419" t="str">
        <f>IFERROR(_xlfn.XLOOKUP(Table1[[#This Row],[product]],Table3[Original],Table3[Product_clean],,0,1),"Unknown")</f>
        <v>Laptop</v>
      </c>
      <c r="M419" s="6" t="s">
        <v>83</v>
      </c>
      <c r="N419">
        <f>IF(ISNUMBER(Table1[[#This Row],[quantity]]),Table1[[#This Row],[quantity]],IFERROR(VLOOKUP(Table1[[#This Row],[quantity]],Table5[#All],2,FALSE),"Unknown"))</f>
        <v>2</v>
      </c>
      <c r="P419" t="str">
        <f>IFERROR(VALUE(SUBSTITUTE(SUBSTITUTE(SUBSTITUTE(Table1[[#This Row],[revenue]],"EUR",""),"$",""),".",",")),"")</f>
        <v/>
      </c>
      <c r="R419" t="str">
        <f>IF(OR(Table1[[#This Row],[currency]]="EUR",Table1[[#This Row],[currency]]="€"),"EUR",IF(OR(Table1[[#This Row],[currency]]="USD",Table1[[#This Row],[currency]]="$"),"USD","Unknown"))</f>
        <v>Unknown</v>
      </c>
      <c r="T419" t="str">
        <f>IFERROR(_xlfn.XLOOKUP(Table1[[#This Row],[order_status]],Table8[Original],Table8[Clean],,0,1),"Unknown")</f>
        <v>Unknown</v>
      </c>
      <c r="U419">
        <v>3</v>
      </c>
      <c r="V419">
        <f>IF(ISNUMBER(Table1[[#This Row],[delivery_days]]),Table1[[#This Row],[delivery_days]],IFERROR(_xlfn.XLOOKUP(Table1[[#This Row],[delivery_days]],Table57[Original],Table57[Clean],,0,1),"Unknown"))</f>
        <v>3</v>
      </c>
      <c r="W419" t="s">
        <v>24</v>
      </c>
    </row>
    <row r="420" spans="1:23" x14ac:dyDescent="0.3">
      <c r="A420">
        <v>1418</v>
      </c>
      <c r="B420" t="str">
        <f>IF(ISBLANK(Table1[[#This Row],[order_id]]),"",IF(LEFT(Table1[[#This Row],[order_id]],3)="ORD",Table1[[#This Row],[order_id]],"ORD-" &amp; Table1[[#This Row],[order_id]]))</f>
        <v>ORD-1418</v>
      </c>
      <c r="C420" t="s">
        <v>967</v>
      </c>
      <c r="D420" s="1">
        <f>IFERROR(DATEVALUE(Table1[[#This Row],[order_date]]),"")</f>
        <v>45523</v>
      </c>
      <c r="E420" t="s">
        <v>968</v>
      </c>
      <c r="F420" t="str">
        <f>IF(ISBLANK(Table1[[#This Row],[customer_name]]),"Unknown Customer",PROPER(SUBSTITUTE(Table1[[#This Row],[customer_name]],"Cust.","Customer")))</f>
        <v>Customer 418</v>
      </c>
      <c r="G420" t="s">
        <v>45</v>
      </c>
      <c r="H420" t="str">
        <f>IFERROR(_xlfn.XLOOKUP(Table1[[#This Row],[region]],Mappings!$C$3:$C$8,Mappings!$D$3:$D$8,,0,1),"Unknown")</f>
        <v>USA</v>
      </c>
      <c r="I420" t="s">
        <v>14</v>
      </c>
      <c r="J420" t="str">
        <f>IFERROR(_xlfn.XLOOKUP(Table1[[#This Row],[sales_channel]],Table4[Original],Table4[Clean],,0,1),"Unknown")</f>
        <v>Online</v>
      </c>
      <c r="K420" t="s">
        <v>33</v>
      </c>
      <c r="L420" t="str">
        <f>IFERROR(_xlfn.XLOOKUP(Table1[[#This Row],[product]],Table3[Original],Table3[Product_clean],,0,1),"Unknown")</f>
        <v>Tablet</v>
      </c>
      <c r="M420" s="6">
        <v>2</v>
      </c>
      <c r="N420">
        <f>IF(ISNUMBER(Table1[[#This Row],[quantity]]),Table1[[#This Row],[quantity]],IFERROR(VLOOKUP(Table1[[#This Row],[quantity]],Table5[#All],2,FALSE),"Unknown"))</f>
        <v>2</v>
      </c>
      <c r="P420" t="str">
        <f>IFERROR(VALUE(SUBSTITUTE(SUBSTITUTE(SUBSTITUTE(Table1[[#This Row],[revenue]],"EUR",""),"$",""),".",",")),"")</f>
        <v/>
      </c>
      <c r="Q420" t="s">
        <v>55</v>
      </c>
      <c r="R420" t="str">
        <f>IF(OR(Table1[[#This Row],[currency]]="EUR",Table1[[#This Row],[currency]]="€"),"EUR",IF(OR(Table1[[#This Row],[currency]]="USD",Table1[[#This Row],[currency]]="$"),"USD","Unknown"))</f>
        <v>EUR</v>
      </c>
      <c r="S420" t="s">
        <v>30</v>
      </c>
      <c r="T420" t="str">
        <f>IFERROR(_xlfn.XLOOKUP(Table1[[#This Row],[order_status]],Table8[Original],Table8[Clean],,0,1),"Unknown")</f>
        <v>Delivered</v>
      </c>
      <c r="U420">
        <v>3</v>
      </c>
      <c r="V420">
        <f>IF(ISNUMBER(Table1[[#This Row],[delivery_days]]),Table1[[#This Row],[delivery_days]],IFERROR(_xlfn.XLOOKUP(Table1[[#This Row],[delivery_days]],Table57[Original],Table57[Clean],,0,1),"Unknown"))</f>
        <v>3</v>
      </c>
      <c r="W420" t="s">
        <v>37</v>
      </c>
    </row>
    <row r="421" spans="1:23" x14ac:dyDescent="0.3">
      <c r="B421" t="str">
        <f>IF(ISBLANK(Table1[[#This Row],[order_id]]),"",IF(LEFT(Table1[[#This Row],[order_id]],3)="ORD",Table1[[#This Row],[order_id]],"ORD-" &amp; Table1[[#This Row],[order_id]]))</f>
        <v/>
      </c>
      <c r="C421" t="s">
        <v>969</v>
      </c>
      <c r="D421" s="1" t="str">
        <f>IFERROR(DATEVALUE(Table1[[#This Row],[order_date]]),"")</f>
        <v/>
      </c>
      <c r="E421" t="s">
        <v>970</v>
      </c>
      <c r="F421" t="str">
        <f>IF(ISBLANK(Table1[[#This Row],[customer_name]]),"Unknown Customer",PROPER(SUBSTITUTE(Table1[[#This Row],[customer_name]],"Cust.","Customer")))</f>
        <v>Customer 419</v>
      </c>
      <c r="G421" t="s">
        <v>73</v>
      </c>
      <c r="H421" t="str">
        <f>IFERROR(_xlfn.XLOOKUP(Table1[[#This Row],[region]],Mappings!$C$3:$C$8,Mappings!$D$3:$D$8,,0,1),"Unknown")</f>
        <v>Europe</v>
      </c>
      <c r="I421" t="s">
        <v>14</v>
      </c>
      <c r="J421" t="str">
        <f>IFERROR(_xlfn.XLOOKUP(Table1[[#This Row],[sales_channel]],Table4[Original],Table4[Clean],,0,1),"Unknown")</f>
        <v>Online</v>
      </c>
      <c r="K421" t="s">
        <v>41</v>
      </c>
      <c r="L421" t="str">
        <f>IFERROR(_xlfn.XLOOKUP(Table1[[#This Row],[product]],Table3[Original],Table3[Product_clean],,0,1),"Unknown")</f>
        <v>Phone</v>
      </c>
      <c r="M421" s="6">
        <v>3</v>
      </c>
      <c r="N421">
        <f>IF(ISNUMBER(Table1[[#This Row],[quantity]]),Table1[[#This Row],[quantity]],IFERROR(VLOOKUP(Table1[[#This Row],[quantity]],Table5[#All],2,FALSE),"Unknown"))</f>
        <v>3</v>
      </c>
      <c r="O421">
        <v>2574.38</v>
      </c>
      <c r="P421">
        <f>IFERROR(VALUE(SUBSTITUTE(SUBSTITUTE(SUBSTITUTE(Table1[[#This Row],[revenue]],"EUR",""),"$",""),".",",")),"")</f>
        <v>2574.38</v>
      </c>
      <c r="Q421" t="s">
        <v>58</v>
      </c>
      <c r="R421" t="str">
        <f>IF(OR(Table1[[#This Row],[currency]]="EUR",Table1[[#This Row],[currency]]="€"),"EUR",IF(OR(Table1[[#This Row],[currency]]="USD",Table1[[#This Row],[currency]]="$"),"USD","Unknown"))</f>
        <v>USD</v>
      </c>
      <c r="S421" t="s">
        <v>23</v>
      </c>
      <c r="T421" t="str">
        <f>IFERROR(_xlfn.XLOOKUP(Table1[[#This Row],[order_status]],Table8[Original],Table8[Clean],,0,1),"Unknown")</f>
        <v>Delivered</v>
      </c>
      <c r="U421">
        <v>3</v>
      </c>
      <c r="V421">
        <f>IF(ISNUMBER(Table1[[#This Row],[delivery_days]]),Table1[[#This Row],[delivery_days]],IFERROR(_xlfn.XLOOKUP(Table1[[#This Row],[delivery_days]],Table57[Original],Table57[Clean],,0,1),"Unknown"))</f>
        <v>3</v>
      </c>
      <c r="W421" t="s">
        <v>24</v>
      </c>
    </row>
    <row r="422" spans="1:23" x14ac:dyDescent="0.3">
      <c r="A422" t="s">
        <v>971</v>
      </c>
      <c r="B422" t="str">
        <f>IF(ISBLANK(Table1[[#This Row],[order_id]]),"",IF(LEFT(Table1[[#This Row],[order_id]],3)="ORD",Table1[[#This Row],[order_id]],"ORD-" &amp; Table1[[#This Row],[order_id]]))</f>
        <v>ORD-1420</v>
      </c>
      <c r="C422" t="s">
        <v>100</v>
      </c>
      <c r="D422" s="1">
        <f>IFERROR(DATEVALUE(Table1[[#This Row],[order_date]]),"")</f>
        <v>45590</v>
      </c>
      <c r="F422" t="str">
        <f>IF(ISBLANK(Table1[[#This Row],[customer_name]]),"Unknown Customer",PROPER(SUBSTITUTE(Table1[[#This Row],[customer_name]],"Cust.","Customer")))</f>
        <v>Unknown Customer</v>
      </c>
      <c r="G422" t="s">
        <v>45</v>
      </c>
      <c r="H422" t="str">
        <f>IFERROR(_xlfn.XLOOKUP(Table1[[#This Row],[region]],Mappings!$C$3:$C$8,Mappings!$D$3:$D$8,,0,1),"Unknown")</f>
        <v>USA</v>
      </c>
      <c r="I422" t="s">
        <v>27</v>
      </c>
      <c r="J422" t="str">
        <f>IFERROR(_xlfn.XLOOKUP(Table1[[#This Row],[sales_channel]],Table4[Original],Table4[Clean],,0,1),"Unknown")</f>
        <v>Online</v>
      </c>
      <c r="K422" t="s">
        <v>15</v>
      </c>
      <c r="L422" t="str">
        <f>IFERROR(_xlfn.XLOOKUP(Table1[[#This Row],[product]],Table3[Original],Table3[Product_clean],,0,1),"Unknown")</f>
        <v>Tablet</v>
      </c>
      <c r="M422" s="6">
        <v>1</v>
      </c>
      <c r="N422">
        <f>IF(ISNUMBER(Table1[[#This Row],[quantity]]),Table1[[#This Row],[quantity]],IFERROR(VLOOKUP(Table1[[#This Row],[quantity]],Table5[#All],2,FALSE),"Unknown"))</f>
        <v>1</v>
      </c>
      <c r="O422" t="s">
        <v>972</v>
      </c>
      <c r="P422">
        <f>IFERROR(VALUE(SUBSTITUTE(SUBSTITUTE(SUBSTITUTE(Table1[[#This Row],[revenue]],"EUR",""),"$",""),".",",")),"")</f>
        <v>787.08</v>
      </c>
      <c r="Q422" t="s">
        <v>55</v>
      </c>
      <c r="R422" t="str">
        <f>IF(OR(Table1[[#This Row],[currency]]="EUR",Table1[[#This Row],[currency]]="€"),"EUR",IF(OR(Table1[[#This Row],[currency]]="USD",Table1[[#This Row],[currency]]="$"),"USD","Unknown"))</f>
        <v>EUR</v>
      </c>
      <c r="S422" t="s">
        <v>47</v>
      </c>
      <c r="T422" t="str">
        <f>IFERROR(_xlfn.XLOOKUP(Table1[[#This Row],[order_status]],Table8[Original],Table8[Clean],,0,1),"Unknown")</f>
        <v>Returned</v>
      </c>
      <c r="U422">
        <v>2</v>
      </c>
      <c r="V422">
        <f>IF(ISNUMBER(Table1[[#This Row],[delivery_days]]),Table1[[#This Row],[delivery_days]],IFERROR(_xlfn.XLOOKUP(Table1[[#This Row],[delivery_days]],Table57[Original],Table57[Clean],,0,1),"Unknown"))</f>
        <v>2</v>
      </c>
    </row>
    <row r="423" spans="1:23" x14ac:dyDescent="0.3">
      <c r="B423" t="str">
        <f>IF(ISBLANK(Table1[[#This Row],[order_id]]),"",IF(LEFT(Table1[[#This Row],[order_id]],3)="ORD",Table1[[#This Row],[order_id]],"ORD-" &amp; Table1[[#This Row],[order_id]]))</f>
        <v/>
      </c>
      <c r="C423" t="s">
        <v>973</v>
      </c>
      <c r="D423" s="1" t="str">
        <f>IFERROR(DATEVALUE(Table1[[#This Row],[order_date]]),"")</f>
        <v/>
      </c>
      <c r="E423" t="s">
        <v>974</v>
      </c>
      <c r="F423" t="str">
        <f>IF(ISBLANK(Table1[[#This Row],[customer_name]]),"Unknown Customer",PROPER(SUBSTITUTE(Table1[[#This Row],[customer_name]],"Cust.","Customer")))</f>
        <v>Customer 421</v>
      </c>
      <c r="H423" t="str">
        <f>IFERROR(_xlfn.XLOOKUP(Table1[[#This Row],[region]],Mappings!$C$3:$C$8,Mappings!$D$3:$D$8,,0,1),"Unknown")</f>
        <v>Unknown</v>
      </c>
      <c r="I423" t="s">
        <v>68</v>
      </c>
      <c r="J423" t="str">
        <f>IFERROR(_xlfn.XLOOKUP(Table1[[#This Row],[sales_channel]],Table4[Original],Table4[Clean],,0,1),"Unknown")</f>
        <v>Online</v>
      </c>
      <c r="K423" t="s">
        <v>41</v>
      </c>
      <c r="L423" t="str">
        <f>IFERROR(_xlfn.XLOOKUP(Table1[[#This Row],[product]],Table3[Original],Table3[Product_clean],,0,1),"Unknown")</f>
        <v>Phone</v>
      </c>
      <c r="M423" s="6">
        <v>1</v>
      </c>
      <c r="N423">
        <f>IF(ISNUMBER(Table1[[#This Row],[quantity]]),Table1[[#This Row],[quantity]],IFERROR(VLOOKUP(Table1[[#This Row],[quantity]],Table5[#All],2,FALSE),"Unknown"))</f>
        <v>1</v>
      </c>
      <c r="O423">
        <v>2123.4</v>
      </c>
      <c r="P423">
        <f>IFERROR(VALUE(SUBSTITUTE(SUBSTITUTE(SUBSTITUTE(Table1[[#This Row],[revenue]],"EUR",""),"$",""),".",",")),"")</f>
        <v>2123.4</v>
      </c>
      <c r="Q423" t="s">
        <v>17</v>
      </c>
      <c r="R423" t="str">
        <f>IF(OR(Table1[[#This Row],[currency]]="EUR",Table1[[#This Row],[currency]]="€"),"EUR",IF(OR(Table1[[#This Row],[currency]]="USD",Table1[[#This Row],[currency]]="$"),"USD","Unknown"))</f>
        <v>EUR</v>
      </c>
      <c r="S423" t="s">
        <v>35</v>
      </c>
      <c r="T423" t="str">
        <f>IFERROR(_xlfn.XLOOKUP(Table1[[#This Row],[order_status]],Table8[Original],Table8[Clean],,0,1),"Unknown")</f>
        <v>Returned</v>
      </c>
      <c r="U423">
        <v>3</v>
      </c>
      <c r="V423">
        <f>IF(ISNUMBER(Table1[[#This Row],[delivery_days]]),Table1[[#This Row],[delivery_days]],IFERROR(_xlfn.XLOOKUP(Table1[[#This Row],[delivery_days]],Table57[Original],Table57[Clean],,0,1),"Unknown"))</f>
        <v>3</v>
      </c>
    </row>
    <row r="424" spans="1:23" x14ac:dyDescent="0.3">
      <c r="A424">
        <v>1422</v>
      </c>
      <c r="B424" t="str">
        <f>IF(ISBLANK(Table1[[#This Row],[order_id]]),"",IF(LEFT(Table1[[#This Row],[order_id]],3)="ORD",Table1[[#This Row],[order_id]],"ORD-" &amp; Table1[[#This Row],[order_id]]))</f>
        <v>ORD-1422</v>
      </c>
      <c r="C424" t="s">
        <v>975</v>
      </c>
      <c r="D424" s="1">
        <f>IFERROR(DATEVALUE(Table1[[#This Row],[order_date]]),"")</f>
        <v>45505</v>
      </c>
      <c r="F424" t="str">
        <f>IF(ISBLANK(Table1[[#This Row],[customer_name]]),"Unknown Customer",PROPER(SUBSTITUTE(Table1[[#This Row],[customer_name]],"Cust.","Customer")))</f>
        <v>Unknown Customer</v>
      </c>
      <c r="G424" t="s">
        <v>73</v>
      </c>
      <c r="H424" t="str">
        <f>IFERROR(_xlfn.XLOOKUP(Table1[[#This Row],[region]],Mappings!$C$3:$C$8,Mappings!$D$3:$D$8,,0,1),"Unknown")</f>
        <v>Europe</v>
      </c>
      <c r="I424" t="s">
        <v>50</v>
      </c>
      <c r="J424" t="str">
        <f>IFERROR(_xlfn.XLOOKUP(Table1[[#This Row],[sales_channel]],Table4[Original],Table4[Clean],,0,1),"Unknown")</f>
        <v>Mobile</v>
      </c>
      <c r="K424" t="s">
        <v>33</v>
      </c>
      <c r="L424" t="str">
        <f>IFERROR(_xlfn.XLOOKUP(Table1[[#This Row],[product]],Table3[Original],Table3[Product_clean],,0,1),"Unknown")</f>
        <v>Tablet</v>
      </c>
      <c r="M424" s="6">
        <v>1</v>
      </c>
      <c r="N424">
        <f>IF(ISNUMBER(Table1[[#This Row],[quantity]]),Table1[[#This Row],[quantity]],IFERROR(VLOOKUP(Table1[[#This Row],[quantity]],Table5[#All],2,FALSE),"Unknown"))</f>
        <v>1</v>
      </c>
      <c r="O424">
        <v>2794.23</v>
      </c>
      <c r="P424">
        <f>IFERROR(VALUE(SUBSTITUTE(SUBSTITUTE(SUBSTITUTE(Table1[[#This Row],[revenue]],"EUR",""),"$",""),".",",")),"")</f>
        <v>2794.23</v>
      </c>
      <c r="Q424" t="s">
        <v>55</v>
      </c>
      <c r="R424" t="str">
        <f>IF(OR(Table1[[#This Row],[currency]]="EUR",Table1[[#This Row],[currency]]="€"),"EUR",IF(OR(Table1[[#This Row],[currency]]="USD",Table1[[#This Row],[currency]]="$"),"USD","Unknown"))</f>
        <v>EUR</v>
      </c>
      <c r="S424" t="s">
        <v>18</v>
      </c>
      <c r="T424" t="str">
        <f>IFERROR(_xlfn.XLOOKUP(Table1[[#This Row],[order_status]],Table8[Original],Table8[Clean],,0,1),"Unknown")</f>
        <v>Pending</v>
      </c>
      <c r="U424" t="s">
        <v>36</v>
      </c>
      <c r="V424">
        <f>IF(ISNUMBER(Table1[[#This Row],[delivery_days]]),Table1[[#This Row],[delivery_days]],IFERROR(_xlfn.XLOOKUP(Table1[[#This Row],[delivery_days]],Table57[Original],Table57[Clean],,0,1),"Unknown"))</f>
        <v>5</v>
      </c>
      <c r="W424" t="s">
        <v>37</v>
      </c>
    </row>
    <row r="425" spans="1:23" x14ac:dyDescent="0.3">
      <c r="A425">
        <v>1423</v>
      </c>
      <c r="B425" t="str">
        <f>IF(ISBLANK(Table1[[#This Row],[order_id]]),"",IF(LEFT(Table1[[#This Row],[order_id]],3)="ORD",Table1[[#This Row],[order_id]],"ORD-" &amp; Table1[[#This Row],[order_id]]))</f>
        <v>ORD-1423</v>
      </c>
      <c r="C425" t="s">
        <v>976</v>
      </c>
      <c r="D425" s="1">
        <f>IFERROR(DATEVALUE(Table1[[#This Row],[order_date]]),"")</f>
        <v>45459</v>
      </c>
      <c r="F425" t="str">
        <f>IF(ISBLANK(Table1[[#This Row],[customer_name]]),"Unknown Customer",PROPER(SUBSTITUTE(Table1[[#This Row],[customer_name]],"Cust.","Customer")))</f>
        <v>Unknown Customer</v>
      </c>
      <c r="G425" t="s">
        <v>32</v>
      </c>
      <c r="H425" t="str">
        <f>IFERROR(_xlfn.XLOOKUP(Table1[[#This Row],[region]],Mappings!$C$3:$C$8,Mappings!$D$3:$D$8,,0,1),"Unknown")</f>
        <v>Europe</v>
      </c>
      <c r="I425" t="s">
        <v>68</v>
      </c>
      <c r="J425" t="str">
        <f>IFERROR(_xlfn.XLOOKUP(Table1[[#This Row],[sales_channel]],Table4[Original],Table4[Clean],,0,1),"Unknown")</f>
        <v>Online</v>
      </c>
      <c r="K425" t="s">
        <v>33</v>
      </c>
      <c r="L425" t="str">
        <f>IFERROR(_xlfn.XLOOKUP(Table1[[#This Row],[product]],Table3[Original],Table3[Product_clean],,0,1),"Unknown")</f>
        <v>Tablet</v>
      </c>
      <c r="M425" s="6"/>
      <c r="N425" t="str">
        <f>IF(ISNUMBER(Table1[[#This Row],[quantity]]),Table1[[#This Row],[quantity]],IFERROR(VLOOKUP(Table1[[#This Row],[quantity]],Table5[#All],2,FALSE),"Unknown"))</f>
        <v>Unknown</v>
      </c>
      <c r="O425" t="s">
        <v>977</v>
      </c>
      <c r="P425">
        <f>IFERROR(VALUE(SUBSTITUTE(SUBSTITUTE(SUBSTITUTE(Table1[[#This Row],[revenue]],"EUR",""),"$",""),".",",")),"")</f>
        <v>1532.08</v>
      </c>
      <c r="Q425" t="s">
        <v>17</v>
      </c>
      <c r="R425" t="str">
        <f>IF(OR(Table1[[#This Row],[currency]]="EUR",Table1[[#This Row],[currency]]="€"),"EUR",IF(OR(Table1[[#This Row],[currency]]="USD",Table1[[#This Row],[currency]]="$"),"USD","Unknown"))</f>
        <v>EUR</v>
      </c>
      <c r="S425" t="s">
        <v>23</v>
      </c>
      <c r="T425" t="str">
        <f>IFERROR(_xlfn.XLOOKUP(Table1[[#This Row],[order_status]],Table8[Original],Table8[Clean],,0,1),"Unknown")</f>
        <v>Delivered</v>
      </c>
      <c r="U425">
        <v>5</v>
      </c>
      <c r="V425">
        <f>IF(ISNUMBER(Table1[[#This Row],[delivery_days]]),Table1[[#This Row],[delivery_days]],IFERROR(_xlfn.XLOOKUP(Table1[[#This Row],[delivery_days]],Table57[Original],Table57[Clean],,0,1),"Unknown"))</f>
        <v>5</v>
      </c>
      <c r="W425" t="s">
        <v>24</v>
      </c>
    </row>
    <row r="426" spans="1:23" x14ac:dyDescent="0.3">
      <c r="A426" t="s">
        <v>978</v>
      </c>
      <c r="B426" t="str">
        <f>IF(ISBLANK(Table1[[#This Row],[order_id]]),"",IF(LEFT(Table1[[#This Row],[order_id]],3)="ORD",Table1[[#This Row],[order_id]],"ORD-" &amp; Table1[[#This Row],[order_id]]))</f>
        <v>ORD-1424</v>
      </c>
      <c r="C426" t="s">
        <v>979</v>
      </c>
      <c r="D426" s="1">
        <f>IFERROR(DATEVALUE(Table1[[#This Row],[order_date]]),"")</f>
        <v>45694</v>
      </c>
      <c r="F426" t="str">
        <f>IF(ISBLANK(Table1[[#This Row],[customer_name]]),"Unknown Customer",PROPER(SUBSTITUTE(Table1[[#This Row],[customer_name]],"Cust.","Customer")))</f>
        <v>Unknown Customer</v>
      </c>
      <c r="G426" t="s">
        <v>45</v>
      </c>
      <c r="H426" t="str">
        <f>IFERROR(_xlfn.XLOOKUP(Table1[[#This Row],[region]],Mappings!$C$3:$C$8,Mappings!$D$3:$D$8,,0,1),"Unknown")</f>
        <v>USA</v>
      </c>
      <c r="J426" t="str">
        <f>IFERROR(_xlfn.XLOOKUP(Table1[[#This Row],[sales_channel]],Table4[Original],Table4[Clean],,0,1),"Unknown")</f>
        <v>Unknown</v>
      </c>
      <c r="K426" t="s">
        <v>51</v>
      </c>
      <c r="L426" t="str">
        <f>IFERROR(_xlfn.XLOOKUP(Table1[[#This Row],[product]],Table3[Original],Table3[Product_clean],,0,1),"Unknown")</f>
        <v>Laptop</v>
      </c>
      <c r="M426" s="6"/>
      <c r="N426" t="str">
        <f>IF(ISNUMBER(Table1[[#This Row],[quantity]]),Table1[[#This Row],[quantity]],IFERROR(VLOOKUP(Table1[[#This Row],[quantity]],Table5[#All],2,FALSE),"Unknown"))</f>
        <v>Unknown</v>
      </c>
      <c r="O426" t="s">
        <v>980</v>
      </c>
      <c r="P426">
        <f>IFERROR(VALUE(SUBSTITUTE(SUBSTITUTE(SUBSTITUTE(Table1[[#This Row],[revenue]],"EUR",""),"$",""),".",",")),"")</f>
        <v>1213.25</v>
      </c>
      <c r="Q426" t="s">
        <v>22</v>
      </c>
      <c r="R426" t="str">
        <f>IF(OR(Table1[[#This Row],[currency]]="EUR",Table1[[#This Row],[currency]]="€"),"EUR",IF(OR(Table1[[#This Row],[currency]]="USD",Table1[[#This Row],[currency]]="$"),"USD","Unknown"))</f>
        <v>USD</v>
      </c>
      <c r="S426" t="s">
        <v>35</v>
      </c>
      <c r="T426" t="str">
        <f>IFERROR(_xlfn.XLOOKUP(Table1[[#This Row],[order_status]],Table8[Original],Table8[Clean],,0,1),"Unknown")</f>
        <v>Returned</v>
      </c>
      <c r="U426">
        <v>1</v>
      </c>
      <c r="V426">
        <f>IF(ISNUMBER(Table1[[#This Row],[delivery_days]]),Table1[[#This Row],[delivery_days]],IFERROR(_xlfn.XLOOKUP(Table1[[#This Row],[delivery_days]],Table57[Original],Table57[Clean],,0,1),"Unknown"))</f>
        <v>1</v>
      </c>
    </row>
    <row r="427" spans="1:23" x14ac:dyDescent="0.3">
      <c r="A427">
        <v>1425</v>
      </c>
      <c r="B427" t="str">
        <f>IF(ISBLANK(Table1[[#This Row],[order_id]]),"",IF(LEFT(Table1[[#This Row],[order_id]],3)="ORD",Table1[[#This Row],[order_id]],"ORD-" &amp; Table1[[#This Row],[order_id]]))</f>
        <v>ORD-1425</v>
      </c>
      <c r="D427" s="1" t="str">
        <f>IFERROR(DATEVALUE(Table1[[#This Row],[order_date]]),"")</f>
        <v/>
      </c>
      <c r="E427" t="s">
        <v>981</v>
      </c>
      <c r="F427" t="str">
        <f>IF(ISBLANK(Table1[[#This Row],[customer_name]]),"Unknown Customer",PROPER(SUBSTITUTE(Table1[[#This Row],[customer_name]],"Cust.","Customer")))</f>
        <v>Customer 425</v>
      </c>
      <c r="G427" t="s">
        <v>32</v>
      </c>
      <c r="H427" t="str">
        <f>IFERROR(_xlfn.XLOOKUP(Table1[[#This Row],[region]],Mappings!$C$3:$C$8,Mappings!$D$3:$D$8,,0,1),"Unknown")</f>
        <v>Europe</v>
      </c>
      <c r="I427" t="s">
        <v>78</v>
      </c>
      <c r="J427" t="str">
        <f>IFERROR(_xlfn.XLOOKUP(Table1[[#This Row],[sales_channel]],Table4[Original],Table4[Clean],,0,1),"Unknown")</f>
        <v>Mobile</v>
      </c>
      <c r="K427" t="s">
        <v>15</v>
      </c>
      <c r="L427" t="str">
        <f>IFERROR(_xlfn.XLOOKUP(Table1[[#This Row],[product]],Table3[Original],Table3[Product_clean],,0,1),"Unknown")</f>
        <v>Tablet</v>
      </c>
      <c r="M427" s="6"/>
      <c r="N427" t="str">
        <f>IF(ISNUMBER(Table1[[#This Row],[quantity]]),Table1[[#This Row],[quantity]],IFERROR(VLOOKUP(Table1[[#This Row],[quantity]],Table5[#All],2,FALSE),"Unknown"))</f>
        <v>Unknown</v>
      </c>
      <c r="O427" t="s">
        <v>982</v>
      </c>
      <c r="P427">
        <f>IFERROR(VALUE(SUBSTITUTE(SUBSTITUTE(SUBSTITUTE(Table1[[#This Row],[revenue]],"EUR",""),"$",""),".",",")),"")</f>
        <v>1331.75</v>
      </c>
      <c r="Q427" t="s">
        <v>58</v>
      </c>
      <c r="R427" t="str">
        <f>IF(OR(Table1[[#This Row],[currency]]="EUR",Table1[[#This Row],[currency]]="€"),"EUR",IF(OR(Table1[[#This Row],[currency]]="USD",Table1[[#This Row],[currency]]="$"),"USD","Unknown"))</f>
        <v>USD</v>
      </c>
      <c r="S427" t="s">
        <v>18</v>
      </c>
      <c r="T427" t="str">
        <f>IFERROR(_xlfn.XLOOKUP(Table1[[#This Row],[order_status]],Table8[Original],Table8[Clean],,0,1),"Unknown")</f>
        <v>Pending</v>
      </c>
      <c r="U427" t="s">
        <v>36</v>
      </c>
      <c r="V427">
        <f>IF(ISNUMBER(Table1[[#This Row],[delivery_days]]),Table1[[#This Row],[delivery_days]],IFERROR(_xlfn.XLOOKUP(Table1[[#This Row],[delivery_days]],Table57[Original],Table57[Clean],,0,1),"Unknown"))</f>
        <v>5</v>
      </c>
      <c r="W427" t="s">
        <v>37</v>
      </c>
    </row>
    <row r="428" spans="1:23" x14ac:dyDescent="0.3">
      <c r="A428" t="s">
        <v>983</v>
      </c>
      <c r="B428" t="str">
        <f>IF(ISBLANK(Table1[[#This Row],[order_id]]),"",IF(LEFT(Table1[[#This Row],[order_id]],3)="ORD",Table1[[#This Row],[order_id]],"ORD-" &amp; Table1[[#This Row],[order_id]]))</f>
        <v>ORD-1426</v>
      </c>
      <c r="C428" t="s">
        <v>453</v>
      </c>
      <c r="D428" s="1">
        <f>IFERROR(DATEVALUE(Table1[[#This Row],[order_date]]),"")</f>
        <v>45416</v>
      </c>
      <c r="E428" t="s">
        <v>984</v>
      </c>
      <c r="F428" t="str">
        <f>IF(ISBLANK(Table1[[#This Row],[customer_name]]),"Unknown Customer",PROPER(SUBSTITUTE(Table1[[#This Row],[customer_name]],"Cust.","Customer")))</f>
        <v>Customer 426</v>
      </c>
      <c r="H428" t="str">
        <f>IFERROR(_xlfn.XLOOKUP(Table1[[#This Row],[region]],Mappings!$C$3:$C$8,Mappings!$D$3:$D$8,,0,1),"Unknown")</f>
        <v>Unknown</v>
      </c>
      <c r="I428" t="s">
        <v>78</v>
      </c>
      <c r="J428" t="str">
        <f>IFERROR(_xlfn.XLOOKUP(Table1[[#This Row],[sales_channel]],Table4[Original],Table4[Clean],,0,1),"Unknown")</f>
        <v>Mobile</v>
      </c>
      <c r="K428" t="s">
        <v>41</v>
      </c>
      <c r="L428" t="str">
        <f>IFERROR(_xlfn.XLOOKUP(Table1[[#This Row],[product]],Table3[Original],Table3[Product_clean],,0,1),"Unknown")</f>
        <v>Phone</v>
      </c>
      <c r="M428" s="6">
        <v>3</v>
      </c>
      <c r="N428">
        <f>IF(ISNUMBER(Table1[[#This Row],[quantity]]),Table1[[#This Row],[quantity]],IFERROR(VLOOKUP(Table1[[#This Row],[quantity]],Table5[#All],2,FALSE),"Unknown"))</f>
        <v>3</v>
      </c>
      <c r="P428" t="str">
        <f>IFERROR(VALUE(SUBSTITUTE(SUBSTITUTE(SUBSTITUTE(Table1[[#This Row],[revenue]],"EUR",""),"$",""),".",",")),"")</f>
        <v/>
      </c>
      <c r="Q428" t="s">
        <v>55</v>
      </c>
      <c r="R428" t="str">
        <f>IF(OR(Table1[[#This Row],[currency]]="EUR",Table1[[#This Row],[currency]]="€"),"EUR",IF(OR(Table1[[#This Row],[currency]]="USD",Table1[[#This Row],[currency]]="$"),"USD","Unknown"))</f>
        <v>EUR</v>
      </c>
      <c r="S428" t="s">
        <v>23</v>
      </c>
      <c r="T428" t="str">
        <f>IFERROR(_xlfn.XLOOKUP(Table1[[#This Row],[order_status]],Table8[Original],Table8[Clean],,0,1),"Unknown")</f>
        <v>Delivered</v>
      </c>
      <c r="U428">
        <v>3</v>
      </c>
      <c r="V428">
        <f>IF(ISNUMBER(Table1[[#This Row],[delivery_days]]),Table1[[#This Row],[delivery_days]],IFERROR(_xlfn.XLOOKUP(Table1[[#This Row],[delivery_days]],Table57[Original],Table57[Clean],,0,1),"Unknown"))</f>
        <v>3</v>
      </c>
      <c r="W428" t="s">
        <v>24</v>
      </c>
    </row>
    <row r="429" spans="1:23" x14ac:dyDescent="0.3">
      <c r="A429">
        <v>1427</v>
      </c>
      <c r="B429" t="str">
        <f>IF(ISBLANK(Table1[[#This Row],[order_id]]),"",IF(LEFT(Table1[[#This Row],[order_id]],3)="ORD",Table1[[#This Row],[order_id]],"ORD-" &amp; Table1[[#This Row],[order_id]]))</f>
        <v>ORD-1427</v>
      </c>
      <c r="C429" t="s">
        <v>985</v>
      </c>
      <c r="D429" s="1" t="str">
        <f>IFERROR(DATEVALUE(Table1[[#This Row],[order_date]]),"")</f>
        <v/>
      </c>
      <c r="F429" t="str">
        <f>IF(ISBLANK(Table1[[#This Row],[customer_name]]),"Unknown Customer",PROPER(SUBSTITUTE(Table1[[#This Row],[customer_name]],"Cust.","Customer")))</f>
        <v>Unknown Customer</v>
      </c>
      <c r="G429" t="s">
        <v>45</v>
      </c>
      <c r="H429" t="str">
        <f>IFERROR(_xlfn.XLOOKUP(Table1[[#This Row],[region]],Mappings!$C$3:$C$8,Mappings!$D$3:$D$8,,0,1),"Unknown")</f>
        <v>USA</v>
      </c>
      <c r="I429" t="s">
        <v>27</v>
      </c>
      <c r="J429" t="str">
        <f>IFERROR(_xlfn.XLOOKUP(Table1[[#This Row],[sales_channel]],Table4[Original],Table4[Clean],,0,1),"Unknown")</f>
        <v>Online</v>
      </c>
      <c r="K429" t="s">
        <v>41</v>
      </c>
      <c r="L429" t="str">
        <f>IFERROR(_xlfn.XLOOKUP(Table1[[#This Row],[product]],Table3[Original],Table3[Product_clean],,0,1),"Unknown")</f>
        <v>Phone</v>
      </c>
      <c r="M429" s="6">
        <v>1</v>
      </c>
      <c r="N429">
        <f>IF(ISNUMBER(Table1[[#This Row],[quantity]]),Table1[[#This Row],[quantity]],IFERROR(VLOOKUP(Table1[[#This Row],[quantity]],Table5[#All],2,FALSE),"Unknown"))</f>
        <v>1</v>
      </c>
      <c r="O429" t="s">
        <v>986</v>
      </c>
      <c r="P429">
        <f>IFERROR(VALUE(SUBSTITUTE(SUBSTITUTE(SUBSTITUTE(Table1[[#This Row],[revenue]],"EUR",""),"$",""),".",",")),"")</f>
        <v>1983.46</v>
      </c>
      <c r="Q429" t="s">
        <v>58</v>
      </c>
      <c r="R429" t="str">
        <f>IF(OR(Table1[[#This Row],[currency]]="EUR",Table1[[#This Row],[currency]]="€"),"EUR",IF(OR(Table1[[#This Row],[currency]]="USD",Table1[[#This Row],[currency]]="$"),"USD","Unknown"))</f>
        <v>USD</v>
      </c>
      <c r="S429" t="s">
        <v>23</v>
      </c>
      <c r="T429" t="str">
        <f>IFERROR(_xlfn.XLOOKUP(Table1[[#This Row],[order_status]],Table8[Original],Table8[Clean],,0,1),"Unknown")</f>
        <v>Delivered</v>
      </c>
      <c r="V429" t="str">
        <f>IF(ISNUMBER(Table1[[#This Row],[delivery_days]]),Table1[[#This Row],[delivery_days]],IFERROR(_xlfn.XLOOKUP(Table1[[#This Row],[delivery_days]],Table57[Original],Table57[Clean],,0,1),"Unknown"))</f>
        <v>Unknown</v>
      </c>
      <c r="W429" t="s">
        <v>24</v>
      </c>
    </row>
    <row r="430" spans="1:23" x14ac:dyDescent="0.3">
      <c r="A430">
        <v>1428</v>
      </c>
      <c r="B430" t="str">
        <f>IF(ISBLANK(Table1[[#This Row],[order_id]]),"",IF(LEFT(Table1[[#This Row],[order_id]],3)="ORD",Table1[[#This Row],[order_id]],"ORD-" &amp; Table1[[#This Row],[order_id]]))</f>
        <v>ORD-1428</v>
      </c>
      <c r="C430" t="s">
        <v>987</v>
      </c>
      <c r="D430" s="1">
        <f>IFERROR(DATEVALUE(Table1[[#This Row],[order_date]]),"")</f>
        <v>45371</v>
      </c>
      <c r="E430" t="s">
        <v>988</v>
      </c>
      <c r="F430" t="str">
        <f>IF(ISBLANK(Table1[[#This Row],[customer_name]]),"Unknown Customer",PROPER(SUBSTITUTE(Table1[[#This Row],[customer_name]],"Cust.","Customer")))</f>
        <v>Customer 428</v>
      </c>
      <c r="G430" t="s">
        <v>45</v>
      </c>
      <c r="H430" t="str">
        <f>IFERROR(_xlfn.XLOOKUP(Table1[[#This Row],[region]],Mappings!$C$3:$C$8,Mappings!$D$3:$D$8,,0,1),"Unknown")</f>
        <v>USA</v>
      </c>
      <c r="I430" t="s">
        <v>27</v>
      </c>
      <c r="J430" t="str">
        <f>IFERROR(_xlfn.XLOOKUP(Table1[[#This Row],[sales_channel]],Table4[Original],Table4[Clean],,0,1),"Unknown")</f>
        <v>Online</v>
      </c>
      <c r="L430" t="str">
        <f>IFERROR(_xlfn.XLOOKUP(Table1[[#This Row],[product]],Table3[Original],Table3[Product_clean],,0,1),"Unknown")</f>
        <v>Unknown</v>
      </c>
      <c r="M430" s="6">
        <v>3</v>
      </c>
      <c r="N430">
        <f>IF(ISNUMBER(Table1[[#This Row],[quantity]]),Table1[[#This Row],[quantity]],IFERROR(VLOOKUP(Table1[[#This Row],[quantity]],Table5[#All],2,FALSE),"Unknown"))</f>
        <v>3</v>
      </c>
      <c r="O430">
        <v>2285.31</v>
      </c>
      <c r="P430">
        <f>IFERROR(VALUE(SUBSTITUTE(SUBSTITUTE(SUBSTITUTE(Table1[[#This Row],[revenue]],"EUR",""),"$",""),".",",")),"")</f>
        <v>2285.31</v>
      </c>
      <c r="Q430" t="s">
        <v>17</v>
      </c>
      <c r="R430" t="str">
        <f>IF(OR(Table1[[#This Row],[currency]]="EUR",Table1[[#This Row],[currency]]="€"),"EUR",IF(OR(Table1[[#This Row],[currency]]="USD",Table1[[#This Row],[currency]]="$"),"USD","Unknown"))</f>
        <v>EUR</v>
      </c>
      <c r="S430" t="s">
        <v>35</v>
      </c>
      <c r="T430" t="str">
        <f>IFERROR(_xlfn.XLOOKUP(Table1[[#This Row],[order_status]],Table8[Original],Table8[Clean],,0,1),"Unknown")</f>
        <v>Returned</v>
      </c>
      <c r="V430" t="str">
        <f>IF(ISNUMBER(Table1[[#This Row],[delivery_days]]),Table1[[#This Row],[delivery_days]],IFERROR(_xlfn.XLOOKUP(Table1[[#This Row],[delivery_days]],Table57[Original],Table57[Clean],,0,1),"Unknown"))</f>
        <v>Unknown</v>
      </c>
    </row>
    <row r="431" spans="1:23" x14ac:dyDescent="0.3">
      <c r="A431" t="s">
        <v>989</v>
      </c>
      <c r="B431" t="str">
        <f>IF(ISBLANK(Table1[[#This Row],[order_id]]),"",IF(LEFT(Table1[[#This Row],[order_id]],3)="ORD",Table1[[#This Row],[order_id]],"ORD-" &amp; Table1[[#This Row],[order_id]]))</f>
        <v>ORD-1429</v>
      </c>
      <c r="C431" t="s">
        <v>990</v>
      </c>
      <c r="D431" s="1">
        <f>IFERROR(DATEVALUE(Table1[[#This Row],[order_date]]),"")</f>
        <v>45448</v>
      </c>
      <c r="E431" t="s">
        <v>991</v>
      </c>
      <c r="F431" t="str">
        <f>IF(ISBLANK(Table1[[#This Row],[customer_name]]),"Unknown Customer",PROPER(SUBSTITUTE(Table1[[#This Row],[customer_name]],"Cust.","Customer")))</f>
        <v>Customer 429</v>
      </c>
      <c r="G431" t="s">
        <v>54</v>
      </c>
      <c r="H431" t="str">
        <f>IFERROR(_xlfn.XLOOKUP(Table1[[#This Row],[region]],Mappings!$C$3:$C$8,Mappings!$D$3:$D$8,,0,1),"Unknown")</f>
        <v>USA</v>
      </c>
      <c r="I431" t="s">
        <v>68</v>
      </c>
      <c r="J431" t="str">
        <f>IFERROR(_xlfn.XLOOKUP(Table1[[#This Row],[sales_channel]],Table4[Original],Table4[Clean],,0,1),"Unknown")</f>
        <v>Online</v>
      </c>
      <c r="K431" t="s">
        <v>33</v>
      </c>
      <c r="L431" t="str">
        <f>IFERROR(_xlfn.XLOOKUP(Table1[[#This Row],[product]],Table3[Original],Table3[Product_clean],,0,1),"Unknown")</f>
        <v>Tablet</v>
      </c>
      <c r="M431" s="6">
        <v>3</v>
      </c>
      <c r="N431">
        <f>IF(ISNUMBER(Table1[[#This Row],[quantity]]),Table1[[#This Row],[quantity]],IFERROR(VLOOKUP(Table1[[#This Row],[quantity]],Table5[#All],2,FALSE),"Unknown"))</f>
        <v>3</v>
      </c>
      <c r="O431">
        <v>1377.68</v>
      </c>
      <c r="P431">
        <f>IFERROR(VALUE(SUBSTITUTE(SUBSTITUTE(SUBSTITUTE(Table1[[#This Row],[revenue]],"EUR",""),"$",""),".",",")),"")</f>
        <v>1377.68</v>
      </c>
      <c r="R431" t="str">
        <f>IF(OR(Table1[[#This Row],[currency]]="EUR",Table1[[#This Row],[currency]]="€"),"EUR",IF(OR(Table1[[#This Row],[currency]]="USD",Table1[[#This Row],[currency]]="$"),"USD","Unknown"))</f>
        <v>Unknown</v>
      </c>
      <c r="S431" t="s">
        <v>47</v>
      </c>
      <c r="T431" t="str">
        <f>IFERROR(_xlfn.XLOOKUP(Table1[[#This Row],[order_status]],Table8[Original],Table8[Clean],,0,1),"Unknown")</f>
        <v>Returned</v>
      </c>
      <c r="U431" t="s">
        <v>36</v>
      </c>
      <c r="V431">
        <f>IF(ISNUMBER(Table1[[#This Row],[delivery_days]]),Table1[[#This Row],[delivery_days]],IFERROR(_xlfn.XLOOKUP(Table1[[#This Row],[delivery_days]],Table57[Original],Table57[Clean],,0,1),"Unknown"))</f>
        <v>5</v>
      </c>
      <c r="W431" t="s">
        <v>37</v>
      </c>
    </row>
    <row r="432" spans="1:23" x14ac:dyDescent="0.3">
      <c r="A432" t="s">
        <v>992</v>
      </c>
      <c r="B432" t="str">
        <f>IF(ISBLANK(Table1[[#This Row],[order_id]]),"",IF(LEFT(Table1[[#This Row],[order_id]],3)="ORD",Table1[[#This Row],[order_id]],"ORD-" &amp; Table1[[#This Row],[order_id]]))</f>
        <v>ORD-1430</v>
      </c>
      <c r="C432" t="s">
        <v>993</v>
      </c>
      <c r="D432" s="1">
        <f>IFERROR(DATEVALUE(Table1[[#This Row],[order_date]]),"")</f>
        <v>45647</v>
      </c>
      <c r="E432" t="s">
        <v>994</v>
      </c>
      <c r="F432" t="str">
        <f>IF(ISBLANK(Table1[[#This Row],[customer_name]]),"Unknown Customer",PROPER(SUBSTITUTE(Table1[[#This Row],[customer_name]],"Cust.","Customer")))</f>
        <v>Customer 430</v>
      </c>
      <c r="G432" t="s">
        <v>54</v>
      </c>
      <c r="H432" t="str">
        <f>IFERROR(_xlfn.XLOOKUP(Table1[[#This Row],[region]],Mappings!$C$3:$C$8,Mappings!$D$3:$D$8,,0,1),"Unknown")</f>
        <v>USA</v>
      </c>
      <c r="I432" t="s">
        <v>14</v>
      </c>
      <c r="J432" t="str">
        <f>IFERROR(_xlfn.XLOOKUP(Table1[[#This Row],[sales_channel]],Table4[Original],Table4[Clean],,0,1),"Unknown")</f>
        <v>Online</v>
      </c>
      <c r="K432" t="s">
        <v>102</v>
      </c>
      <c r="L432" t="str">
        <f>IFERROR(_xlfn.XLOOKUP(Table1[[#This Row],[product]],Table3[Original],Table3[Product_clean],,0,1),"Unknown")</f>
        <v>Phone</v>
      </c>
      <c r="M432" s="6">
        <v>2</v>
      </c>
      <c r="N432">
        <f>IF(ISNUMBER(Table1[[#This Row],[quantity]]),Table1[[#This Row],[quantity]],IFERROR(VLOOKUP(Table1[[#This Row],[quantity]],Table5[#All],2,FALSE),"Unknown"))</f>
        <v>2</v>
      </c>
      <c r="O432">
        <v>2111.33</v>
      </c>
      <c r="P432">
        <f>IFERROR(VALUE(SUBSTITUTE(SUBSTITUTE(SUBSTITUTE(Table1[[#This Row],[revenue]],"EUR",""),"$",""),".",",")),"")</f>
        <v>2111.33</v>
      </c>
      <c r="R432" t="str">
        <f>IF(OR(Table1[[#This Row],[currency]]="EUR",Table1[[#This Row],[currency]]="€"),"EUR",IF(OR(Table1[[#This Row],[currency]]="USD",Table1[[#This Row],[currency]]="$"),"USD","Unknown"))</f>
        <v>Unknown</v>
      </c>
      <c r="S432" t="s">
        <v>35</v>
      </c>
      <c r="T432" t="str">
        <f>IFERROR(_xlfn.XLOOKUP(Table1[[#This Row],[order_status]],Table8[Original],Table8[Clean],,0,1),"Unknown")</f>
        <v>Returned</v>
      </c>
      <c r="U432">
        <v>1</v>
      </c>
      <c r="V432">
        <f>IF(ISNUMBER(Table1[[#This Row],[delivery_days]]),Table1[[#This Row],[delivery_days]],IFERROR(_xlfn.XLOOKUP(Table1[[#This Row],[delivery_days]],Table57[Original],Table57[Clean],,0,1),"Unknown"))</f>
        <v>1</v>
      </c>
    </row>
    <row r="433" spans="1:23" x14ac:dyDescent="0.3">
      <c r="A433" t="s">
        <v>995</v>
      </c>
      <c r="B433" t="str">
        <f>IF(ISBLANK(Table1[[#This Row],[order_id]]),"",IF(LEFT(Table1[[#This Row],[order_id]],3)="ORD",Table1[[#This Row],[order_id]],"ORD-" &amp; Table1[[#This Row],[order_id]]))</f>
        <v>ORD-1431</v>
      </c>
      <c r="C433" t="s">
        <v>52</v>
      </c>
      <c r="D433" s="1">
        <f>IFERROR(DATEVALUE(Table1[[#This Row],[order_date]]),"")</f>
        <v>45303</v>
      </c>
      <c r="E433" t="s">
        <v>996</v>
      </c>
      <c r="F433" t="str">
        <f>IF(ISBLANK(Table1[[#This Row],[customer_name]]),"Unknown Customer",PROPER(SUBSTITUTE(Table1[[#This Row],[customer_name]],"Cust.","Customer")))</f>
        <v>Customer 431</v>
      </c>
      <c r="H433" t="str">
        <f>IFERROR(_xlfn.XLOOKUP(Table1[[#This Row],[region]],Mappings!$C$3:$C$8,Mappings!$D$3:$D$8,,0,1),"Unknown")</f>
        <v>Unknown</v>
      </c>
      <c r="I433" t="s">
        <v>14</v>
      </c>
      <c r="J433" t="str">
        <f>IFERROR(_xlfn.XLOOKUP(Table1[[#This Row],[sales_channel]],Table4[Original],Table4[Clean],,0,1),"Unknown")</f>
        <v>Online</v>
      </c>
      <c r="K433" t="s">
        <v>51</v>
      </c>
      <c r="L433" t="str">
        <f>IFERROR(_xlfn.XLOOKUP(Table1[[#This Row],[product]],Table3[Original],Table3[Product_clean],,0,1),"Unknown")</f>
        <v>Laptop</v>
      </c>
      <c r="M433" s="6">
        <v>3</v>
      </c>
      <c r="N433">
        <f>IF(ISNUMBER(Table1[[#This Row],[quantity]]),Table1[[#This Row],[quantity]],IFERROR(VLOOKUP(Table1[[#This Row],[quantity]],Table5[#All],2,FALSE),"Unknown"))</f>
        <v>3</v>
      </c>
      <c r="O433">
        <v>2838.27</v>
      </c>
      <c r="P433">
        <f>IFERROR(VALUE(SUBSTITUTE(SUBSTITUTE(SUBSTITUTE(Table1[[#This Row],[revenue]],"EUR",""),"$",""),".",",")),"")</f>
        <v>2838.27</v>
      </c>
      <c r="Q433" t="s">
        <v>22</v>
      </c>
      <c r="R433" t="str">
        <f>IF(OR(Table1[[#This Row],[currency]]="EUR",Table1[[#This Row],[currency]]="€"),"EUR",IF(OR(Table1[[#This Row],[currency]]="USD",Table1[[#This Row],[currency]]="$"),"USD","Unknown"))</f>
        <v>USD</v>
      </c>
      <c r="S433" t="s">
        <v>23</v>
      </c>
      <c r="T433" t="str">
        <f>IFERROR(_xlfn.XLOOKUP(Table1[[#This Row],[order_status]],Table8[Original],Table8[Clean],,0,1),"Unknown")</f>
        <v>Delivered</v>
      </c>
      <c r="U433">
        <v>5</v>
      </c>
      <c r="V433">
        <f>IF(ISNUMBER(Table1[[#This Row],[delivery_days]]),Table1[[#This Row],[delivery_days]],IFERROR(_xlfn.XLOOKUP(Table1[[#This Row],[delivery_days]],Table57[Original],Table57[Clean],,0,1),"Unknown"))</f>
        <v>5</v>
      </c>
    </row>
    <row r="434" spans="1:23" x14ac:dyDescent="0.3">
      <c r="A434">
        <v>1432</v>
      </c>
      <c r="B434" t="str">
        <f>IF(ISBLANK(Table1[[#This Row],[order_id]]),"",IF(LEFT(Table1[[#This Row],[order_id]],3)="ORD",Table1[[#This Row],[order_id]],"ORD-" &amp; Table1[[#This Row],[order_id]]))</f>
        <v>ORD-1432</v>
      </c>
      <c r="C434" t="s">
        <v>882</v>
      </c>
      <c r="D434" s="1">
        <f>IFERROR(DATEVALUE(Table1[[#This Row],[order_date]]),"")</f>
        <v>45453</v>
      </c>
      <c r="F434" t="str">
        <f>IF(ISBLANK(Table1[[#This Row],[customer_name]]),"Unknown Customer",PROPER(SUBSTITUTE(Table1[[#This Row],[customer_name]],"Cust.","Customer")))</f>
        <v>Unknown Customer</v>
      </c>
      <c r="G434" t="s">
        <v>45</v>
      </c>
      <c r="H434" t="str">
        <f>IFERROR(_xlfn.XLOOKUP(Table1[[#This Row],[region]],Mappings!$C$3:$C$8,Mappings!$D$3:$D$8,,0,1),"Unknown")</f>
        <v>USA</v>
      </c>
      <c r="J434" t="str">
        <f>IFERROR(_xlfn.XLOOKUP(Table1[[#This Row],[sales_channel]],Table4[Original],Table4[Clean],,0,1),"Unknown")</f>
        <v>Unknown</v>
      </c>
      <c r="K434" t="s">
        <v>51</v>
      </c>
      <c r="L434" t="str">
        <f>IFERROR(_xlfn.XLOOKUP(Table1[[#This Row],[product]],Table3[Original],Table3[Product_clean],,0,1),"Unknown")</f>
        <v>Laptop</v>
      </c>
      <c r="M434" s="6">
        <v>1</v>
      </c>
      <c r="N434">
        <f>IF(ISNUMBER(Table1[[#This Row],[quantity]]),Table1[[#This Row],[quantity]],IFERROR(VLOOKUP(Table1[[#This Row],[quantity]],Table5[#All],2,FALSE),"Unknown"))</f>
        <v>1</v>
      </c>
      <c r="O434">
        <v>1479.75</v>
      </c>
      <c r="P434">
        <f>IFERROR(VALUE(SUBSTITUTE(SUBSTITUTE(SUBSTITUTE(Table1[[#This Row],[revenue]],"EUR",""),"$",""),".",",")),"")</f>
        <v>1479.75</v>
      </c>
      <c r="Q434" t="s">
        <v>58</v>
      </c>
      <c r="R434" t="str">
        <f>IF(OR(Table1[[#This Row],[currency]]="EUR",Table1[[#This Row],[currency]]="€"),"EUR",IF(OR(Table1[[#This Row],[currency]]="USD",Table1[[#This Row],[currency]]="$"),"USD","Unknown"))</f>
        <v>USD</v>
      </c>
      <c r="S434" t="s">
        <v>18</v>
      </c>
      <c r="T434" t="str">
        <f>IFERROR(_xlfn.XLOOKUP(Table1[[#This Row],[order_status]],Table8[Original],Table8[Clean],,0,1),"Unknown")</f>
        <v>Pending</v>
      </c>
      <c r="U434">
        <v>3</v>
      </c>
      <c r="V434">
        <f>IF(ISNUMBER(Table1[[#This Row],[delivery_days]]),Table1[[#This Row],[delivery_days]],IFERROR(_xlfn.XLOOKUP(Table1[[#This Row],[delivery_days]],Table57[Original],Table57[Clean],,0,1),"Unknown"))</f>
        <v>3</v>
      </c>
      <c r="W434" t="s">
        <v>24</v>
      </c>
    </row>
    <row r="435" spans="1:23" x14ac:dyDescent="0.3">
      <c r="A435">
        <v>1433</v>
      </c>
      <c r="B435" t="str">
        <f>IF(ISBLANK(Table1[[#This Row],[order_id]]),"",IF(LEFT(Table1[[#This Row],[order_id]],3)="ORD",Table1[[#This Row],[order_id]],"ORD-" &amp; Table1[[#This Row],[order_id]]))</f>
        <v>ORD-1433</v>
      </c>
      <c r="C435" t="s">
        <v>997</v>
      </c>
      <c r="D435" s="1">
        <f>IFERROR(DATEVALUE(Table1[[#This Row],[order_date]]),"")</f>
        <v>45482</v>
      </c>
      <c r="E435" t="s">
        <v>998</v>
      </c>
      <c r="F435" t="str">
        <f>IF(ISBLANK(Table1[[#This Row],[customer_name]]),"Unknown Customer",PROPER(SUBSTITUTE(Table1[[#This Row],[customer_name]],"Cust.","Customer")))</f>
        <v>Customer 433</v>
      </c>
      <c r="G435" t="s">
        <v>26</v>
      </c>
      <c r="H435" t="str">
        <f>IFERROR(_xlfn.XLOOKUP(Table1[[#This Row],[region]],Mappings!$C$3:$C$8,Mappings!$D$3:$D$8,,0,1),"Unknown")</f>
        <v>Asia</v>
      </c>
      <c r="J435" t="str">
        <f>IFERROR(_xlfn.XLOOKUP(Table1[[#This Row],[sales_channel]],Table4[Original],Table4[Clean],,0,1),"Unknown")</f>
        <v>Unknown</v>
      </c>
      <c r="K435" t="s">
        <v>102</v>
      </c>
      <c r="L435" t="str">
        <f>IFERROR(_xlfn.XLOOKUP(Table1[[#This Row],[product]],Table3[Original],Table3[Product_clean],,0,1),"Unknown")</f>
        <v>Phone</v>
      </c>
      <c r="M435" s="6">
        <v>2</v>
      </c>
      <c r="N435">
        <f>IF(ISNUMBER(Table1[[#This Row],[quantity]]),Table1[[#This Row],[quantity]],IFERROR(VLOOKUP(Table1[[#This Row],[quantity]],Table5[#All],2,FALSE),"Unknown"))</f>
        <v>2</v>
      </c>
      <c r="O435" t="s">
        <v>999</v>
      </c>
      <c r="P435">
        <f>IFERROR(VALUE(SUBSTITUTE(SUBSTITUTE(SUBSTITUTE(Table1[[#This Row],[revenue]],"EUR",""),"$",""),".",",")),"")</f>
        <v>1210.53</v>
      </c>
      <c r="R435" t="str">
        <f>IF(OR(Table1[[#This Row],[currency]]="EUR",Table1[[#This Row],[currency]]="€"),"EUR",IF(OR(Table1[[#This Row],[currency]]="USD",Table1[[#This Row],[currency]]="$"),"USD","Unknown"))</f>
        <v>Unknown</v>
      </c>
      <c r="S435" t="s">
        <v>35</v>
      </c>
      <c r="T435" t="str">
        <f>IFERROR(_xlfn.XLOOKUP(Table1[[#This Row],[order_status]],Table8[Original],Table8[Clean],,0,1),"Unknown")</f>
        <v>Returned</v>
      </c>
      <c r="U435">
        <v>1</v>
      </c>
      <c r="V435">
        <f>IF(ISNUMBER(Table1[[#This Row],[delivery_days]]),Table1[[#This Row],[delivery_days]],IFERROR(_xlfn.XLOOKUP(Table1[[#This Row],[delivery_days]],Table57[Original],Table57[Clean],,0,1),"Unknown"))</f>
        <v>1</v>
      </c>
      <c r="W435" t="s">
        <v>24</v>
      </c>
    </row>
    <row r="436" spans="1:23" x14ac:dyDescent="0.3">
      <c r="B436" t="str">
        <f>IF(ISBLANK(Table1[[#This Row],[order_id]]),"",IF(LEFT(Table1[[#This Row],[order_id]],3)="ORD",Table1[[#This Row],[order_id]],"ORD-" &amp; Table1[[#This Row],[order_id]]))</f>
        <v/>
      </c>
      <c r="C436" t="s">
        <v>1000</v>
      </c>
      <c r="D436" s="1" t="str">
        <f>IFERROR(DATEVALUE(Table1[[#This Row],[order_date]]),"")</f>
        <v/>
      </c>
      <c r="E436" t="s">
        <v>1001</v>
      </c>
      <c r="F436" t="str">
        <f>IF(ISBLANK(Table1[[#This Row],[customer_name]]),"Unknown Customer",PROPER(SUBSTITUTE(Table1[[#This Row],[customer_name]],"Cust.","Customer")))</f>
        <v>Customer 434</v>
      </c>
      <c r="G436" t="s">
        <v>54</v>
      </c>
      <c r="H436" t="str">
        <f>IFERROR(_xlfn.XLOOKUP(Table1[[#This Row],[region]],Mappings!$C$3:$C$8,Mappings!$D$3:$D$8,,0,1),"Unknown")</f>
        <v>USA</v>
      </c>
      <c r="I436" t="s">
        <v>50</v>
      </c>
      <c r="J436" t="str">
        <f>IFERROR(_xlfn.XLOOKUP(Table1[[#This Row],[sales_channel]],Table4[Original],Table4[Clean],,0,1),"Unknown")</f>
        <v>Mobile</v>
      </c>
      <c r="K436" t="s">
        <v>41</v>
      </c>
      <c r="L436" t="str">
        <f>IFERROR(_xlfn.XLOOKUP(Table1[[#This Row],[product]],Table3[Original],Table3[Product_clean],,0,1),"Unknown")</f>
        <v>Phone</v>
      </c>
      <c r="M436" s="6">
        <v>2</v>
      </c>
      <c r="N436">
        <f>IF(ISNUMBER(Table1[[#This Row],[quantity]]),Table1[[#This Row],[quantity]],IFERROR(VLOOKUP(Table1[[#This Row],[quantity]],Table5[#All],2,FALSE),"Unknown"))</f>
        <v>2</v>
      </c>
      <c r="O436">
        <v>2676.69</v>
      </c>
      <c r="P436">
        <f>IFERROR(VALUE(SUBSTITUTE(SUBSTITUTE(SUBSTITUTE(Table1[[#This Row],[revenue]],"EUR",""),"$",""),".",",")),"")</f>
        <v>2676.69</v>
      </c>
      <c r="Q436" t="s">
        <v>17</v>
      </c>
      <c r="R436" t="str">
        <f>IF(OR(Table1[[#This Row],[currency]]="EUR",Table1[[#This Row],[currency]]="€"),"EUR",IF(OR(Table1[[#This Row],[currency]]="USD",Table1[[#This Row],[currency]]="$"),"USD","Unknown"))</f>
        <v>EUR</v>
      </c>
      <c r="T436" t="str">
        <f>IFERROR(_xlfn.XLOOKUP(Table1[[#This Row],[order_status]],Table8[Original],Table8[Clean],,0,1),"Unknown")</f>
        <v>Unknown</v>
      </c>
      <c r="U436">
        <v>5</v>
      </c>
      <c r="V436">
        <f>IF(ISNUMBER(Table1[[#This Row],[delivery_days]]),Table1[[#This Row],[delivery_days]],IFERROR(_xlfn.XLOOKUP(Table1[[#This Row],[delivery_days]],Table57[Original],Table57[Clean],,0,1),"Unknown"))</f>
        <v>5</v>
      </c>
      <c r="W436" t="s">
        <v>37</v>
      </c>
    </row>
    <row r="437" spans="1:23" x14ac:dyDescent="0.3">
      <c r="A437" t="s">
        <v>1002</v>
      </c>
      <c r="B437" t="str">
        <f>IF(ISBLANK(Table1[[#This Row],[order_id]]),"",IF(LEFT(Table1[[#This Row],[order_id]],3)="ORD",Table1[[#This Row],[order_id]],"ORD-" &amp; Table1[[#This Row],[order_id]]))</f>
        <v>ORD-1435</v>
      </c>
      <c r="C437" t="s">
        <v>1003</v>
      </c>
      <c r="D437" s="1">
        <f>IFERROR(DATEVALUE(Table1[[#This Row],[order_date]]),"")</f>
        <v>45299</v>
      </c>
      <c r="E437" t="s">
        <v>1004</v>
      </c>
      <c r="F437" t="str">
        <f>IF(ISBLANK(Table1[[#This Row],[customer_name]]),"Unknown Customer",PROPER(SUBSTITUTE(Table1[[#This Row],[customer_name]],"Cust.","Customer")))</f>
        <v>Customer 435</v>
      </c>
      <c r="G437" t="s">
        <v>32</v>
      </c>
      <c r="H437" t="str">
        <f>IFERROR(_xlfn.XLOOKUP(Table1[[#This Row],[region]],Mappings!$C$3:$C$8,Mappings!$D$3:$D$8,,0,1),"Unknown")</f>
        <v>Europe</v>
      </c>
      <c r="I437" t="s">
        <v>68</v>
      </c>
      <c r="J437" t="str">
        <f>IFERROR(_xlfn.XLOOKUP(Table1[[#This Row],[sales_channel]],Table4[Original],Table4[Clean],,0,1),"Unknown")</f>
        <v>Online</v>
      </c>
      <c r="K437" t="s">
        <v>28</v>
      </c>
      <c r="L437" t="str">
        <f>IFERROR(_xlfn.XLOOKUP(Table1[[#This Row],[product]],Table3[Original],Table3[Product_clean],,0,1),"Unknown")</f>
        <v>Laptop</v>
      </c>
      <c r="M437" s="6">
        <v>2</v>
      </c>
      <c r="N437">
        <f>IF(ISNUMBER(Table1[[#This Row],[quantity]]),Table1[[#This Row],[quantity]],IFERROR(VLOOKUP(Table1[[#This Row],[quantity]],Table5[#All],2,FALSE),"Unknown"))</f>
        <v>2</v>
      </c>
      <c r="O437" t="s">
        <v>1005</v>
      </c>
      <c r="P437">
        <f>IFERROR(VALUE(SUBSTITUTE(SUBSTITUTE(SUBSTITUTE(Table1[[#This Row],[revenue]],"EUR",""),"$",""),".",",")),"")</f>
        <v>759.06</v>
      </c>
      <c r="Q437" t="s">
        <v>58</v>
      </c>
      <c r="R437" t="str">
        <f>IF(OR(Table1[[#This Row],[currency]]="EUR",Table1[[#This Row],[currency]]="€"),"EUR",IF(OR(Table1[[#This Row],[currency]]="USD",Table1[[#This Row],[currency]]="$"),"USD","Unknown"))</f>
        <v>USD</v>
      </c>
      <c r="S437" t="s">
        <v>18</v>
      </c>
      <c r="T437" t="str">
        <f>IFERROR(_xlfn.XLOOKUP(Table1[[#This Row],[order_status]],Table8[Original],Table8[Clean],,0,1),"Unknown")</f>
        <v>Pending</v>
      </c>
      <c r="U437" t="s">
        <v>36</v>
      </c>
      <c r="V437">
        <f>IF(ISNUMBER(Table1[[#This Row],[delivery_days]]),Table1[[#This Row],[delivery_days]],IFERROR(_xlfn.XLOOKUP(Table1[[#This Row],[delivery_days]],Table57[Original],Table57[Clean],,0,1),"Unknown"))</f>
        <v>5</v>
      </c>
      <c r="W437" t="s">
        <v>37</v>
      </c>
    </row>
    <row r="438" spans="1:23" x14ac:dyDescent="0.3">
      <c r="A438" t="s">
        <v>1006</v>
      </c>
      <c r="B438" t="str">
        <f>IF(ISBLANK(Table1[[#This Row],[order_id]]),"",IF(LEFT(Table1[[#This Row],[order_id]],3)="ORD",Table1[[#This Row],[order_id]],"ORD-" &amp; Table1[[#This Row],[order_id]]))</f>
        <v>ORD-1436</v>
      </c>
      <c r="C438" t="s">
        <v>1007</v>
      </c>
      <c r="D438" s="1">
        <f>IFERROR(DATEVALUE(Table1[[#This Row],[order_date]]),"")</f>
        <v>45362</v>
      </c>
      <c r="E438" t="s">
        <v>1008</v>
      </c>
      <c r="F438" t="str">
        <f>IF(ISBLANK(Table1[[#This Row],[customer_name]]),"Unknown Customer",PROPER(SUBSTITUTE(Table1[[#This Row],[customer_name]],"Cust.","Customer")))</f>
        <v>Customer 436</v>
      </c>
      <c r="G438" t="s">
        <v>26</v>
      </c>
      <c r="H438" t="str">
        <f>IFERROR(_xlfn.XLOOKUP(Table1[[#This Row],[region]],Mappings!$C$3:$C$8,Mappings!$D$3:$D$8,,0,1),"Unknown")</f>
        <v>Asia</v>
      </c>
      <c r="I438" t="s">
        <v>14</v>
      </c>
      <c r="J438" t="str">
        <f>IFERROR(_xlfn.XLOOKUP(Table1[[#This Row],[sales_channel]],Table4[Original],Table4[Clean],,0,1),"Unknown")</f>
        <v>Online</v>
      </c>
      <c r="K438" t="s">
        <v>33</v>
      </c>
      <c r="L438" t="str">
        <f>IFERROR(_xlfn.XLOOKUP(Table1[[#This Row],[product]],Table3[Original],Table3[Product_clean],,0,1),"Unknown")</f>
        <v>Tablet</v>
      </c>
      <c r="M438" s="6"/>
      <c r="N438" t="str">
        <f>IF(ISNUMBER(Table1[[#This Row],[quantity]]),Table1[[#This Row],[quantity]],IFERROR(VLOOKUP(Table1[[#This Row],[quantity]],Table5[#All],2,FALSE),"Unknown"))</f>
        <v>Unknown</v>
      </c>
      <c r="O438" t="s">
        <v>1009</v>
      </c>
      <c r="P438">
        <f>IFERROR(VALUE(SUBSTITUTE(SUBSTITUTE(SUBSTITUTE(Table1[[#This Row],[revenue]],"EUR",""),"$",""),".",",")),"")</f>
        <v>961.55</v>
      </c>
      <c r="Q438" t="s">
        <v>17</v>
      </c>
      <c r="R438" t="str">
        <f>IF(OR(Table1[[#This Row],[currency]]="EUR",Table1[[#This Row],[currency]]="€"),"EUR",IF(OR(Table1[[#This Row],[currency]]="USD",Table1[[#This Row],[currency]]="$"),"USD","Unknown"))</f>
        <v>EUR</v>
      </c>
      <c r="S438" t="s">
        <v>23</v>
      </c>
      <c r="T438" t="str">
        <f>IFERROR(_xlfn.XLOOKUP(Table1[[#This Row],[order_status]],Table8[Original],Table8[Clean],,0,1),"Unknown")</f>
        <v>Delivered</v>
      </c>
      <c r="U438">
        <v>3</v>
      </c>
      <c r="V438">
        <f>IF(ISNUMBER(Table1[[#This Row],[delivery_days]]),Table1[[#This Row],[delivery_days]],IFERROR(_xlfn.XLOOKUP(Table1[[#This Row],[delivery_days]],Table57[Original],Table57[Clean],,0,1),"Unknown"))</f>
        <v>3</v>
      </c>
      <c r="W438" t="s">
        <v>37</v>
      </c>
    </row>
    <row r="439" spans="1:23" x14ac:dyDescent="0.3">
      <c r="A439" t="s">
        <v>1010</v>
      </c>
      <c r="B439" t="str">
        <f>IF(ISBLANK(Table1[[#This Row],[order_id]]),"",IF(LEFT(Table1[[#This Row],[order_id]],3)="ORD",Table1[[#This Row],[order_id]],"ORD-" &amp; Table1[[#This Row],[order_id]]))</f>
        <v>ORD-1437</v>
      </c>
      <c r="D439" s="1" t="str">
        <f>IFERROR(DATEVALUE(Table1[[#This Row],[order_date]]),"")</f>
        <v/>
      </c>
      <c r="E439" t="s">
        <v>1011</v>
      </c>
      <c r="F439" t="str">
        <f>IF(ISBLANK(Table1[[#This Row],[customer_name]]),"Unknown Customer",PROPER(SUBSTITUTE(Table1[[#This Row],[customer_name]],"Cust.","Customer")))</f>
        <v>Customer 437</v>
      </c>
      <c r="G439" t="s">
        <v>32</v>
      </c>
      <c r="H439" t="str">
        <f>IFERROR(_xlfn.XLOOKUP(Table1[[#This Row],[region]],Mappings!$C$3:$C$8,Mappings!$D$3:$D$8,,0,1),"Unknown")</f>
        <v>Europe</v>
      </c>
      <c r="J439" t="str">
        <f>IFERROR(_xlfn.XLOOKUP(Table1[[#This Row],[sales_channel]],Table4[Original],Table4[Clean],,0,1),"Unknown")</f>
        <v>Unknown</v>
      </c>
      <c r="L439" t="str">
        <f>IFERROR(_xlfn.XLOOKUP(Table1[[#This Row],[product]],Table3[Original],Table3[Product_clean],,0,1),"Unknown")</f>
        <v>Unknown</v>
      </c>
      <c r="M439" s="6">
        <v>3</v>
      </c>
      <c r="N439">
        <f>IF(ISNUMBER(Table1[[#This Row],[quantity]]),Table1[[#This Row],[quantity]],IFERROR(VLOOKUP(Table1[[#This Row],[quantity]],Table5[#All],2,FALSE),"Unknown"))</f>
        <v>3</v>
      </c>
      <c r="O439" t="s">
        <v>1012</v>
      </c>
      <c r="P439">
        <f>IFERROR(VALUE(SUBSTITUTE(SUBSTITUTE(SUBSTITUTE(Table1[[#This Row],[revenue]],"EUR",""),"$",""),".",",")),"")</f>
        <v>136.97999999999999</v>
      </c>
      <c r="Q439" t="s">
        <v>58</v>
      </c>
      <c r="R439" t="str">
        <f>IF(OR(Table1[[#This Row],[currency]]="EUR",Table1[[#This Row],[currency]]="€"),"EUR",IF(OR(Table1[[#This Row],[currency]]="USD",Table1[[#This Row],[currency]]="$"),"USD","Unknown"))</f>
        <v>USD</v>
      </c>
      <c r="S439" t="s">
        <v>23</v>
      </c>
      <c r="T439" t="str">
        <f>IFERROR(_xlfn.XLOOKUP(Table1[[#This Row],[order_status]],Table8[Original],Table8[Clean],,0,1),"Unknown")</f>
        <v>Delivered</v>
      </c>
      <c r="U439">
        <v>1</v>
      </c>
      <c r="V439">
        <f>IF(ISNUMBER(Table1[[#This Row],[delivery_days]]),Table1[[#This Row],[delivery_days]],IFERROR(_xlfn.XLOOKUP(Table1[[#This Row],[delivery_days]],Table57[Original],Table57[Clean],,0,1),"Unknown"))</f>
        <v>1</v>
      </c>
      <c r="W439" t="s">
        <v>37</v>
      </c>
    </row>
    <row r="440" spans="1:23" x14ac:dyDescent="0.3">
      <c r="B440" t="str">
        <f>IF(ISBLANK(Table1[[#This Row],[order_id]]),"",IF(LEFT(Table1[[#This Row],[order_id]],3)="ORD",Table1[[#This Row],[order_id]],"ORD-" &amp; Table1[[#This Row],[order_id]]))</f>
        <v/>
      </c>
      <c r="C440" t="s">
        <v>1013</v>
      </c>
      <c r="D440" s="1">
        <f>IFERROR(DATEVALUE(Table1[[#This Row],[order_date]]),"")</f>
        <v>45386</v>
      </c>
      <c r="E440" t="s">
        <v>1014</v>
      </c>
      <c r="F440" t="str">
        <f>IF(ISBLANK(Table1[[#This Row],[customer_name]]),"Unknown Customer",PROPER(SUBSTITUTE(Table1[[#This Row],[customer_name]],"Cust.","Customer")))</f>
        <v>Customer 438</v>
      </c>
      <c r="G440" t="s">
        <v>54</v>
      </c>
      <c r="H440" t="str">
        <f>IFERROR(_xlfn.XLOOKUP(Table1[[#This Row],[region]],Mappings!$C$3:$C$8,Mappings!$D$3:$D$8,,0,1),"Unknown")</f>
        <v>USA</v>
      </c>
      <c r="J440" t="str">
        <f>IFERROR(_xlfn.XLOOKUP(Table1[[#This Row],[sales_channel]],Table4[Original],Table4[Clean],,0,1),"Unknown")</f>
        <v>Unknown</v>
      </c>
      <c r="K440" t="s">
        <v>51</v>
      </c>
      <c r="L440" t="str">
        <f>IFERROR(_xlfn.XLOOKUP(Table1[[#This Row],[product]],Table3[Original],Table3[Product_clean],,0,1),"Unknown")</f>
        <v>Laptop</v>
      </c>
      <c r="M440" s="6">
        <v>3</v>
      </c>
      <c r="N440">
        <f>IF(ISNUMBER(Table1[[#This Row],[quantity]]),Table1[[#This Row],[quantity]],IFERROR(VLOOKUP(Table1[[#This Row],[quantity]],Table5[#All],2,FALSE),"Unknown"))</f>
        <v>3</v>
      </c>
      <c r="O440" t="s">
        <v>1015</v>
      </c>
      <c r="P440">
        <f>IFERROR(VALUE(SUBSTITUTE(SUBSTITUTE(SUBSTITUTE(Table1[[#This Row],[revenue]],"EUR",""),"$",""),".",",")),"")</f>
        <v>127.28</v>
      </c>
      <c r="Q440" t="s">
        <v>17</v>
      </c>
      <c r="R440" t="str">
        <f>IF(OR(Table1[[#This Row],[currency]]="EUR",Table1[[#This Row],[currency]]="€"),"EUR",IF(OR(Table1[[#This Row],[currency]]="USD",Table1[[#This Row],[currency]]="$"),"USD","Unknown"))</f>
        <v>EUR</v>
      </c>
      <c r="T440" t="str">
        <f>IFERROR(_xlfn.XLOOKUP(Table1[[#This Row],[order_status]],Table8[Original],Table8[Clean],,0,1),"Unknown")</f>
        <v>Unknown</v>
      </c>
      <c r="U440">
        <v>5</v>
      </c>
      <c r="V440">
        <f>IF(ISNUMBER(Table1[[#This Row],[delivery_days]]),Table1[[#This Row],[delivery_days]],IFERROR(_xlfn.XLOOKUP(Table1[[#This Row],[delivery_days]],Table57[Original],Table57[Clean],,0,1),"Unknown"))</f>
        <v>5</v>
      </c>
      <c r="W440" t="s">
        <v>37</v>
      </c>
    </row>
    <row r="441" spans="1:23" x14ac:dyDescent="0.3">
      <c r="B441" t="str">
        <f>IF(ISBLANK(Table1[[#This Row],[order_id]]),"",IF(LEFT(Table1[[#This Row],[order_id]],3)="ORD",Table1[[#This Row],[order_id]],"ORD-" &amp; Table1[[#This Row],[order_id]]))</f>
        <v/>
      </c>
      <c r="C441" t="s">
        <v>1016</v>
      </c>
      <c r="D441" s="1" t="str">
        <f>IFERROR(DATEVALUE(Table1[[#This Row],[order_date]]),"")</f>
        <v/>
      </c>
      <c r="E441" t="s">
        <v>1017</v>
      </c>
      <c r="F441" t="str">
        <f>IF(ISBLANK(Table1[[#This Row],[customer_name]]),"Unknown Customer",PROPER(SUBSTITUTE(Table1[[#This Row],[customer_name]],"Cust.","Customer")))</f>
        <v>Customer 439</v>
      </c>
      <c r="H441" t="str">
        <f>IFERROR(_xlfn.XLOOKUP(Table1[[#This Row],[region]],Mappings!$C$3:$C$8,Mappings!$D$3:$D$8,,0,1),"Unknown")</f>
        <v>Unknown</v>
      </c>
      <c r="I441" t="s">
        <v>78</v>
      </c>
      <c r="J441" t="str">
        <f>IFERROR(_xlfn.XLOOKUP(Table1[[#This Row],[sales_channel]],Table4[Original],Table4[Clean],,0,1),"Unknown")</f>
        <v>Mobile</v>
      </c>
      <c r="K441" t="s">
        <v>41</v>
      </c>
      <c r="L441" t="str">
        <f>IFERROR(_xlfn.XLOOKUP(Table1[[#This Row],[product]],Table3[Original],Table3[Product_clean],,0,1),"Unknown")</f>
        <v>Phone</v>
      </c>
      <c r="M441" s="6" t="s">
        <v>83</v>
      </c>
      <c r="N441">
        <f>IF(ISNUMBER(Table1[[#This Row],[quantity]]),Table1[[#This Row],[quantity]],IFERROR(VLOOKUP(Table1[[#This Row],[quantity]],Table5[#All],2,FALSE),"Unknown"))</f>
        <v>2</v>
      </c>
      <c r="P441" t="str">
        <f>IFERROR(VALUE(SUBSTITUTE(SUBSTITUTE(SUBSTITUTE(Table1[[#This Row],[revenue]],"EUR",""),"$",""),".",",")),"")</f>
        <v/>
      </c>
      <c r="Q441" t="s">
        <v>58</v>
      </c>
      <c r="R441" t="str">
        <f>IF(OR(Table1[[#This Row],[currency]]="EUR",Table1[[#This Row],[currency]]="€"),"EUR",IF(OR(Table1[[#This Row],[currency]]="USD",Table1[[#This Row],[currency]]="$"),"USD","Unknown"))</f>
        <v>USD</v>
      </c>
      <c r="S441" t="s">
        <v>23</v>
      </c>
      <c r="T441" t="str">
        <f>IFERROR(_xlfn.XLOOKUP(Table1[[#This Row],[order_status]],Table8[Original],Table8[Clean],,0,1),"Unknown")</f>
        <v>Delivered</v>
      </c>
      <c r="U441">
        <v>2</v>
      </c>
      <c r="V441">
        <f>IF(ISNUMBER(Table1[[#This Row],[delivery_days]]),Table1[[#This Row],[delivery_days]],IFERROR(_xlfn.XLOOKUP(Table1[[#This Row],[delivery_days]],Table57[Original],Table57[Clean],,0,1),"Unknown"))</f>
        <v>2</v>
      </c>
      <c r="W441" t="s">
        <v>37</v>
      </c>
    </row>
    <row r="442" spans="1:23" x14ac:dyDescent="0.3">
      <c r="A442" t="s">
        <v>1018</v>
      </c>
      <c r="B442" t="str">
        <f>IF(ISBLANK(Table1[[#This Row],[order_id]]),"",IF(LEFT(Table1[[#This Row],[order_id]],3)="ORD",Table1[[#This Row],[order_id]],"ORD-" &amp; Table1[[#This Row],[order_id]]))</f>
        <v>ORD-1440</v>
      </c>
      <c r="D442" s="1" t="str">
        <f>IFERROR(DATEVALUE(Table1[[#This Row],[order_date]]),"")</f>
        <v/>
      </c>
      <c r="E442" t="s">
        <v>1019</v>
      </c>
      <c r="F442" t="str">
        <f>IF(ISBLANK(Table1[[#This Row],[customer_name]]),"Unknown Customer",PROPER(SUBSTITUTE(Table1[[#This Row],[customer_name]],"Cust.","Customer")))</f>
        <v>Customer 440</v>
      </c>
      <c r="H442" t="str">
        <f>IFERROR(_xlfn.XLOOKUP(Table1[[#This Row],[region]],Mappings!$C$3:$C$8,Mappings!$D$3:$D$8,,0,1),"Unknown")</f>
        <v>Unknown</v>
      </c>
      <c r="J442" t="str">
        <f>IFERROR(_xlfn.XLOOKUP(Table1[[#This Row],[sales_channel]],Table4[Original],Table4[Clean],,0,1),"Unknown")</f>
        <v>Unknown</v>
      </c>
      <c r="K442" t="s">
        <v>28</v>
      </c>
      <c r="L442" t="str">
        <f>IFERROR(_xlfn.XLOOKUP(Table1[[#This Row],[product]],Table3[Original],Table3[Product_clean],,0,1),"Unknown")</f>
        <v>Laptop</v>
      </c>
      <c r="M442" s="6">
        <v>2</v>
      </c>
      <c r="N442">
        <f>IF(ISNUMBER(Table1[[#This Row],[quantity]]),Table1[[#This Row],[quantity]],IFERROR(VLOOKUP(Table1[[#This Row],[quantity]],Table5[#All],2,FALSE),"Unknown"))</f>
        <v>2</v>
      </c>
      <c r="O442">
        <v>1255.3399999999999</v>
      </c>
      <c r="P442">
        <f>IFERROR(VALUE(SUBSTITUTE(SUBSTITUTE(SUBSTITUTE(Table1[[#This Row],[revenue]],"EUR",""),"$",""),".",",")),"")</f>
        <v>1255.3399999999999</v>
      </c>
      <c r="Q442" t="s">
        <v>17</v>
      </c>
      <c r="R442" t="str">
        <f>IF(OR(Table1[[#This Row],[currency]]="EUR",Table1[[#This Row],[currency]]="€"),"EUR",IF(OR(Table1[[#This Row],[currency]]="USD",Table1[[#This Row],[currency]]="$"),"USD","Unknown"))</f>
        <v>EUR</v>
      </c>
      <c r="S442" t="s">
        <v>23</v>
      </c>
      <c r="T442" t="str">
        <f>IFERROR(_xlfn.XLOOKUP(Table1[[#This Row],[order_status]],Table8[Original],Table8[Clean],,0,1),"Unknown")</f>
        <v>Delivered</v>
      </c>
      <c r="U442">
        <v>5</v>
      </c>
      <c r="V442">
        <f>IF(ISNUMBER(Table1[[#This Row],[delivery_days]]),Table1[[#This Row],[delivery_days]],IFERROR(_xlfn.XLOOKUP(Table1[[#This Row],[delivery_days]],Table57[Original],Table57[Clean],,0,1),"Unknown"))</f>
        <v>5</v>
      </c>
    </row>
    <row r="443" spans="1:23" x14ac:dyDescent="0.3">
      <c r="A443">
        <v>1441</v>
      </c>
      <c r="B443" t="str">
        <f>IF(ISBLANK(Table1[[#This Row],[order_id]]),"",IF(LEFT(Table1[[#This Row],[order_id]],3)="ORD",Table1[[#This Row],[order_id]],"ORD-" &amp; Table1[[#This Row],[order_id]]))</f>
        <v>ORD-1441</v>
      </c>
      <c r="D443" s="1" t="str">
        <f>IFERROR(DATEVALUE(Table1[[#This Row],[order_date]]),"")</f>
        <v/>
      </c>
      <c r="F443" t="str">
        <f>IF(ISBLANK(Table1[[#This Row],[customer_name]]),"Unknown Customer",PROPER(SUBSTITUTE(Table1[[#This Row],[customer_name]],"Cust.","Customer")))</f>
        <v>Unknown Customer</v>
      </c>
      <c r="H443" t="str">
        <f>IFERROR(_xlfn.XLOOKUP(Table1[[#This Row],[region]],Mappings!$C$3:$C$8,Mappings!$D$3:$D$8,,0,1),"Unknown")</f>
        <v>Unknown</v>
      </c>
      <c r="I443" t="s">
        <v>14</v>
      </c>
      <c r="J443" t="str">
        <f>IFERROR(_xlfn.XLOOKUP(Table1[[#This Row],[sales_channel]],Table4[Original],Table4[Clean],,0,1),"Unknown")</f>
        <v>Online</v>
      </c>
      <c r="K443" t="s">
        <v>33</v>
      </c>
      <c r="L443" t="str">
        <f>IFERROR(_xlfn.XLOOKUP(Table1[[#This Row],[product]],Table3[Original],Table3[Product_clean],,0,1),"Unknown")</f>
        <v>Tablet</v>
      </c>
      <c r="M443" s="6" t="s">
        <v>83</v>
      </c>
      <c r="N443">
        <f>IF(ISNUMBER(Table1[[#This Row],[quantity]]),Table1[[#This Row],[quantity]],IFERROR(VLOOKUP(Table1[[#This Row],[quantity]],Table5[#All],2,FALSE),"Unknown"))</f>
        <v>2</v>
      </c>
      <c r="P443" t="str">
        <f>IFERROR(VALUE(SUBSTITUTE(SUBSTITUTE(SUBSTITUTE(Table1[[#This Row],[revenue]],"EUR",""),"$",""),".",",")),"")</f>
        <v/>
      </c>
      <c r="Q443" t="s">
        <v>55</v>
      </c>
      <c r="R443" t="str">
        <f>IF(OR(Table1[[#This Row],[currency]]="EUR",Table1[[#This Row],[currency]]="€"),"EUR",IF(OR(Table1[[#This Row],[currency]]="USD",Table1[[#This Row],[currency]]="$"),"USD","Unknown"))</f>
        <v>EUR</v>
      </c>
      <c r="S443" t="s">
        <v>47</v>
      </c>
      <c r="T443" t="str">
        <f>IFERROR(_xlfn.XLOOKUP(Table1[[#This Row],[order_status]],Table8[Original],Table8[Clean],,0,1),"Unknown")</f>
        <v>Returned</v>
      </c>
      <c r="U443" t="s">
        <v>36</v>
      </c>
      <c r="V443">
        <f>IF(ISNUMBER(Table1[[#This Row],[delivery_days]]),Table1[[#This Row],[delivery_days]],IFERROR(_xlfn.XLOOKUP(Table1[[#This Row],[delivery_days]],Table57[Original],Table57[Clean],,0,1),"Unknown"))</f>
        <v>5</v>
      </c>
    </row>
    <row r="444" spans="1:23" x14ac:dyDescent="0.3">
      <c r="A444">
        <v>1442</v>
      </c>
      <c r="B444" t="str">
        <f>IF(ISBLANK(Table1[[#This Row],[order_id]]),"",IF(LEFT(Table1[[#This Row],[order_id]],3)="ORD",Table1[[#This Row],[order_id]],"ORD-" &amp; Table1[[#This Row],[order_id]]))</f>
        <v>ORD-1442</v>
      </c>
      <c r="C444" t="s">
        <v>1020</v>
      </c>
      <c r="D444" s="1">
        <f>IFERROR(DATEVALUE(Table1[[#This Row],[order_date]]),"")</f>
        <v>45558</v>
      </c>
      <c r="F444" t="str">
        <f>IF(ISBLANK(Table1[[#This Row],[customer_name]]),"Unknown Customer",PROPER(SUBSTITUTE(Table1[[#This Row],[customer_name]],"Cust.","Customer")))</f>
        <v>Unknown Customer</v>
      </c>
      <c r="H444" t="str">
        <f>IFERROR(_xlfn.XLOOKUP(Table1[[#This Row],[region]],Mappings!$C$3:$C$8,Mappings!$D$3:$D$8,,0,1),"Unknown")</f>
        <v>Unknown</v>
      </c>
      <c r="I444" t="s">
        <v>14</v>
      </c>
      <c r="J444" t="str">
        <f>IFERROR(_xlfn.XLOOKUP(Table1[[#This Row],[sales_channel]],Table4[Original],Table4[Clean],,0,1),"Unknown")</f>
        <v>Online</v>
      </c>
      <c r="K444" t="s">
        <v>33</v>
      </c>
      <c r="L444" t="str">
        <f>IFERROR(_xlfn.XLOOKUP(Table1[[#This Row],[product]],Table3[Original],Table3[Product_clean],,0,1),"Unknown")</f>
        <v>Tablet</v>
      </c>
      <c r="M444" s="6" t="s">
        <v>83</v>
      </c>
      <c r="N444">
        <f>IF(ISNUMBER(Table1[[#This Row],[quantity]]),Table1[[#This Row],[quantity]],IFERROR(VLOOKUP(Table1[[#This Row],[quantity]],Table5[#All],2,FALSE),"Unknown"))</f>
        <v>2</v>
      </c>
      <c r="P444" t="str">
        <f>IFERROR(VALUE(SUBSTITUTE(SUBSTITUTE(SUBSTITUTE(Table1[[#This Row],[revenue]],"EUR",""),"$",""),".",",")),"")</f>
        <v/>
      </c>
      <c r="R444" t="str">
        <f>IF(OR(Table1[[#This Row],[currency]]="EUR",Table1[[#This Row],[currency]]="€"),"EUR",IF(OR(Table1[[#This Row],[currency]]="USD",Table1[[#This Row],[currency]]="$"),"USD","Unknown"))</f>
        <v>Unknown</v>
      </c>
      <c r="T444" t="str">
        <f>IFERROR(_xlfn.XLOOKUP(Table1[[#This Row],[order_status]],Table8[Original],Table8[Clean],,0,1),"Unknown")</f>
        <v>Unknown</v>
      </c>
      <c r="U444">
        <v>1</v>
      </c>
      <c r="V444">
        <f>IF(ISNUMBER(Table1[[#This Row],[delivery_days]]),Table1[[#This Row],[delivery_days]],IFERROR(_xlfn.XLOOKUP(Table1[[#This Row],[delivery_days]],Table57[Original],Table57[Clean],,0,1),"Unknown"))</f>
        <v>1</v>
      </c>
      <c r="W444" t="s">
        <v>37</v>
      </c>
    </row>
    <row r="445" spans="1:23" x14ac:dyDescent="0.3">
      <c r="A445" t="s">
        <v>1021</v>
      </c>
      <c r="B445" t="str">
        <f>IF(ISBLANK(Table1[[#This Row],[order_id]]),"",IF(LEFT(Table1[[#This Row],[order_id]],3)="ORD",Table1[[#This Row],[order_id]],"ORD-" &amp; Table1[[#This Row],[order_id]]))</f>
        <v>ORD-1443</v>
      </c>
      <c r="D445" s="1" t="str">
        <f>IFERROR(DATEVALUE(Table1[[#This Row],[order_date]]),"")</f>
        <v/>
      </c>
      <c r="E445" t="s">
        <v>1022</v>
      </c>
      <c r="F445" t="str">
        <f>IF(ISBLANK(Table1[[#This Row],[customer_name]]),"Unknown Customer",PROPER(SUBSTITUTE(Table1[[#This Row],[customer_name]],"Cust.","Customer")))</f>
        <v>Customer 443</v>
      </c>
      <c r="G445" t="s">
        <v>32</v>
      </c>
      <c r="H445" t="str">
        <f>IFERROR(_xlfn.XLOOKUP(Table1[[#This Row],[region]],Mappings!$C$3:$C$8,Mappings!$D$3:$D$8,,0,1),"Unknown")</f>
        <v>Europe</v>
      </c>
      <c r="I445" t="s">
        <v>50</v>
      </c>
      <c r="J445" t="str">
        <f>IFERROR(_xlfn.XLOOKUP(Table1[[#This Row],[sales_channel]],Table4[Original],Table4[Clean],,0,1),"Unknown")</f>
        <v>Mobile</v>
      </c>
      <c r="K445" t="s">
        <v>33</v>
      </c>
      <c r="L445" t="str">
        <f>IFERROR(_xlfn.XLOOKUP(Table1[[#This Row],[product]],Table3[Original],Table3[Product_clean],,0,1),"Unknown")</f>
        <v>Tablet</v>
      </c>
      <c r="M445" s="6">
        <v>1</v>
      </c>
      <c r="N445">
        <f>IF(ISNUMBER(Table1[[#This Row],[quantity]]),Table1[[#This Row],[quantity]],IFERROR(VLOOKUP(Table1[[#This Row],[quantity]],Table5[#All],2,FALSE),"Unknown"))</f>
        <v>1</v>
      </c>
      <c r="O445" t="s">
        <v>1023</v>
      </c>
      <c r="P445">
        <f>IFERROR(VALUE(SUBSTITUTE(SUBSTITUTE(SUBSTITUTE(Table1[[#This Row],[revenue]],"EUR",""),"$",""),".",",")),"")</f>
        <v>1346.68</v>
      </c>
      <c r="R445" t="str">
        <f>IF(OR(Table1[[#This Row],[currency]]="EUR",Table1[[#This Row],[currency]]="€"),"EUR",IF(OR(Table1[[#This Row],[currency]]="USD",Table1[[#This Row],[currency]]="$"),"USD","Unknown"))</f>
        <v>Unknown</v>
      </c>
      <c r="S445" t="s">
        <v>23</v>
      </c>
      <c r="T445" t="str">
        <f>IFERROR(_xlfn.XLOOKUP(Table1[[#This Row],[order_status]],Table8[Original],Table8[Clean],,0,1),"Unknown")</f>
        <v>Delivered</v>
      </c>
      <c r="U445">
        <v>5</v>
      </c>
      <c r="V445">
        <f>IF(ISNUMBER(Table1[[#This Row],[delivery_days]]),Table1[[#This Row],[delivery_days]],IFERROR(_xlfn.XLOOKUP(Table1[[#This Row],[delivery_days]],Table57[Original],Table57[Clean],,0,1),"Unknown"))</f>
        <v>5</v>
      </c>
    </row>
    <row r="446" spans="1:23" x14ac:dyDescent="0.3">
      <c r="A446">
        <v>1444</v>
      </c>
      <c r="B446" t="str">
        <f>IF(ISBLANK(Table1[[#This Row],[order_id]]),"",IF(LEFT(Table1[[#This Row],[order_id]],3)="ORD",Table1[[#This Row],[order_id]],"ORD-" &amp; Table1[[#This Row],[order_id]]))</f>
        <v>ORD-1444</v>
      </c>
      <c r="C446" t="s">
        <v>1024</v>
      </c>
      <c r="D446" s="1">
        <f>IFERROR(DATEVALUE(Table1[[#This Row],[order_date]]),"")</f>
        <v>45338</v>
      </c>
      <c r="F446" t="str">
        <f>IF(ISBLANK(Table1[[#This Row],[customer_name]]),"Unknown Customer",PROPER(SUBSTITUTE(Table1[[#This Row],[customer_name]],"Cust.","Customer")))</f>
        <v>Unknown Customer</v>
      </c>
      <c r="G446" t="s">
        <v>32</v>
      </c>
      <c r="H446" t="str">
        <f>IFERROR(_xlfn.XLOOKUP(Table1[[#This Row],[region]],Mappings!$C$3:$C$8,Mappings!$D$3:$D$8,,0,1),"Unknown")</f>
        <v>Europe</v>
      </c>
      <c r="I446" t="s">
        <v>50</v>
      </c>
      <c r="J446" t="str">
        <f>IFERROR(_xlfn.XLOOKUP(Table1[[#This Row],[sales_channel]],Table4[Original],Table4[Clean],,0,1),"Unknown")</f>
        <v>Mobile</v>
      </c>
      <c r="K446" t="s">
        <v>41</v>
      </c>
      <c r="L446" t="str">
        <f>IFERROR(_xlfn.XLOOKUP(Table1[[#This Row],[product]],Table3[Original],Table3[Product_clean],,0,1),"Unknown")</f>
        <v>Phone</v>
      </c>
      <c r="M446" s="6">
        <v>1</v>
      </c>
      <c r="N446">
        <f>IF(ISNUMBER(Table1[[#This Row],[quantity]]),Table1[[#This Row],[quantity]],IFERROR(VLOOKUP(Table1[[#This Row],[quantity]],Table5[#All],2,FALSE),"Unknown"))</f>
        <v>1</v>
      </c>
      <c r="O446">
        <v>2181.81</v>
      </c>
      <c r="P446">
        <f>IFERROR(VALUE(SUBSTITUTE(SUBSTITUTE(SUBSTITUTE(Table1[[#This Row],[revenue]],"EUR",""),"$",""),".",",")),"")</f>
        <v>2181.81</v>
      </c>
      <c r="Q446" t="s">
        <v>58</v>
      </c>
      <c r="R446" t="str">
        <f>IF(OR(Table1[[#This Row],[currency]]="EUR",Table1[[#This Row],[currency]]="€"),"EUR",IF(OR(Table1[[#This Row],[currency]]="USD",Table1[[#This Row],[currency]]="$"),"USD","Unknown"))</f>
        <v>USD</v>
      </c>
      <c r="S446" t="s">
        <v>47</v>
      </c>
      <c r="T446" t="str">
        <f>IFERROR(_xlfn.XLOOKUP(Table1[[#This Row],[order_status]],Table8[Original],Table8[Clean],,0,1),"Unknown")</f>
        <v>Returned</v>
      </c>
      <c r="U446" t="s">
        <v>36</v>
      </c>
      <c r="V446">
        <f>IF(ISNUMBER(Table1[[#This Row],[delivery_days]]),Table1[[#This Row],[delivery_days]],IFERROR(_xlfn.XLOOKUP(Table1[[#This Row],[delivery_days]],Table57[Original],Table57[Clean],,0,1),"Unknown"))</f>
        <v>5</v>
      </c>
      <c r="W446" t="s">
        <v>37</v>
      </c>
    </row>
    <row r="447" spans="1:23" x14ac:dyDescent="0.3">
      <c r="B447" t="str">
        <f>IF(ISBLANK(Table1[[#This Row],[order_id]]),"",IF(LEFT(Table1[[#This Row],[order_id]],3)="ORD",Table1[[#This Row],[order_id]],"ORD-" &amp; Table1[[#This Row],[order_id]]))</f>
        <v/>
      </c>
      <c r="C447" t="s">
        <v>1025</v>
      </c>
      <c r="D447" s="1">
        <f>IFERROR(DATEVALUE(Table1[[#This Row],[order_date]]),"")</f>
        <v>45524</v>
      </c>
      <c r="E447" t="s">
        <v>1026</v>
      </c>
      <c r="F447" t="str">
        <f>IF(ISBLANK(Table1[[#This Row],[customer_name]]),"Unknown Customer",PROPER(SUBSTITUTE(Table1[[#This Row],[customer_name]],"Cust.","Customer")))</f>
        <v>Customer 445</v>
      </c>
      <c r="G447" t="s">
        <v>73</v>
      </c>
      <c r="H447" t="str">
        <f>IFERROR(_xlfn.XLOOKUP(Table1[[#This Row],[region]],Mappings!$C$3:$C$8,Mappings!$D$3:$D$8,,0,1),"Unknown")</f>
        <v>Europe</v>
      </c>
      <c r="I447" t="s">
        <v>14</v>
      </c>
      <c r="J447" t="str">
        <f>IFERROR(_xlfn.XLOOKUP(Table1[[#This Row],[sales_channel]],Table4[Original],Table4[Clean],,0,1),"Unknown")</f>
        <v>Online</v>
      </c>
      <c r="K447" t="s">
        <v>15</v>
      </c>
      <c r="L447" t="str">
        <f>IFERROR(_xlfn.XLOOKUP(Table1[[#This Row],[product]],Table3[Original],Table3[Product_clean],,0,1),"Unknown")</f>
        <v>Tablet</v>
      </c>
      <c r="M447" s="6" t="s">
        <v>83</v>
      </c>
      <c r="N447">
        <f>IF(ISNUMBER(Table1[[#This Row],[quantity]]),Table1[[#This Row],[quantity]],IFERROR(VLOOKUP(Table1[[#This Row],[quantity]],Table5[#All],2,FALSE),"Unknown"))</f>
        <v>2</v>
      </c>
      <c r="O447" t="s">
        <v>1027</v>
      </c>
      <c r="P447">
        <f>IFERROR(VALUE(SUBSTITUTE(SUBSTITUTE(SUBSTITUTE(Table1[[#This Row],[revenue]],"EUR",""),"$",""),".",",")),"")</f>
        <v>316.02999999999997</v>
      </c>
      <c r="Q447" t="s">
        <v>55</v>
      </c>
      <c r="R447" t="str">
        <f>IF(OR(Table1[[#This Row],[currency]]="EUR",Table1[[#This Row],[currency]]="€"),"EUR",IF(OR(Table1[[#This Row],[currency]]="USD",Table1[[#This Row],[currency]]="$"),"USD","Unknown"))</f>
        <v>EUR</v>
      </c>
      <c r="S447" t="s">
        <v>30</v>
      </c>
      <c r="T447" t="str">
        <f>IFERROR(_xlfn.XLOOKUP(Table1[[#This Row],[order_status]],Table8[Original],Table8[Clean],,0,1),"Unknown")</f>
        <v>Delivered</v>
      </c>
      <c r="U447" t="s">
        <v>36</v>
      </c>
      <c r="V447">
        <f>IF(ISNUMBER(Table1[[#This Row],[delivery_days]]),Table1[[#This Row],[delivery_days]],IFERROR(_xlfn.XLOOKUP(Table1[[#This Row],[delivery_days]],Table57[Original],Table57[Clean],,0,1),"Unknown"))</f>
        <v>5</v>
      </c>
    </row>
    <row r="448" spans="1:23" x14ac:dyDescent="0.3">
      <c r="A448" t="s">
        <v>1028</v>
      </c>
      <c r="B448" t="str">
        <f>IF(ISBLANK(Table1[[#This Row],[order_id]]),"",IF(LEFT(Table1[[#This Row],[order_id]],3)="ORD",Table1[[#This Row],[order_id]],"ORD-" &amp; Table1[[#This Row],[order_id]]))</f>
        <v>ORD-1446</v>
      </c>
      <c r="D448" s="1" t="str">
        <f>IFERROR(DATEVALUE(Table1[[#This Row],[order_date]]),"")</f>
        <v/>
      </c>
      <c r="E448" t="s">
        <v>1029</v>
      </c>
      <c r="F448" t="str">
        <f>IF(ISBLANK(Table1[[#This Row],[customer_name]]),"Unknown Customer",PROPER(SUBSTITUTE(Table1[[#This Row],[customer_name]],"Cust.","Customer")))</f>
        <v>Customer 446</v>
      </c>
      <c r="H448" t="str">
        <f>IFERROR(_xlfn.XLOOKUP(Table1[[#This Row],[region]],Mappings!$C$3:$C$8,Mappings!$D$3:$D$8,,0,1),"Unknown")</f>
        <v>Unknown</v>
      </c>
      <c r="I448" t="s">
        <v>27</v>
      </c>
      <c r="J448" t="str">
        <f>IFERROR(_xlfn.XLOOKUP(Table1[[#This Row],[sales_channel]],Table4[Original],Table4[Clean],,0,1),"Unknown")</f>
        <v>Online</v>
      </c>
      <c r="K448" t="s">
        <v>102</v>
      </c>
      <c r="L448" t="str">
        <f>IFERROR(_xlfn.XLOOKUP(Table1[[#This Row],[product]],Table3[Original],Table3[Product_clean],,0,1),"Unknown")</f>
        <v>Phone</v>
      </c>
      <c r="M448" s="6"/>
      <c r="N448" t="str">
        <f>IF(ISNUMBER(Table1[[#This Row],[quantity]]),Table1[[#This Row],[quantity]],IFERROR(VLOOKUP(Table1[[#This Row],[quantity]],Table5[#All],2,FALSE),"Unknown"))</f>
        <v>Unknown</v>
      </c>
      <c r="O448" t="s">
        <v>1030</v>
      </c>
      <c r="P448">
        <f>IFERROR(VALUE(SUBSTITUTE(SUBSTITUTE(SUBSTITUTE(Table1[[#This Row],[revenue]],"EUR",""),"$",""),".",",")),"")</f>
        <v>2383.65</v>
      </c>
      <c r="Q448" t="s">
        <v>58</v>
      </c>
      <c r="R448" t="str">
        <f>IF(OR(Table1[[#This Row],[currency]]="EUR",Table1[[#This Row],[currency]]="€"),"EUR",IF(OR(Table1[[#This Row],[currency]]="USD",Table1[[#This Row],[currency]]="$"),"USD","Unknown"))</f>
        <v>USD</v>
      </c>
      <c r="S448" t="s">
        <v>23</v>
      </c>
      <c r="T448" t="str">
        <f>IFERROR(_xlfn.XLOOKUP(Table1[[#This Row],[order_status]],Table8[Original],Table8[Clean],,0,1),"Unknown")</f>
        <v>Delivered</v>
      </c>
      <c r="U448">
        <v>2</v>
      </c>
      <c r="V448">
        <f>IF(ISNUMBER(Table1[[#This Row],[delivery_days]]),Table1[[#This Row],[delivery_days]],IFERROR(_xlfn.XLOOKUP(Table1[[#This Row],[delivery_days]],Table57[Original],Table57[Clean],,0,1),"Unknown"))</f>
        <v>2</v>
      </c>
      <c r="W448" t="s">
        <v>37</v>
      </c>
    </row>
    <row r="449" spans="1:23" x14ac:dyDescent="0.3">
      <c r="A449" t="s">
        <v>1031</v>
      </c>
      <c r="B449" t="str">
        <f>IF(ISBLANK(Table1[[#This Row],[order_id]]),"",IF(LEFT(Table1[[#This Row],[order_id]],3)="ORD",Table1[[#This Row],[order_id]],"ORD-" &amp; Table1[[#This Row],[order_id]]))</f>
        <v>ORD-1447</v>
      </c>
      <c r="C449" t="s">
        <v>1032</v>
      </c>
      <c r="D449" s="1" t="str">
        <f>IFERROR(DATEVALUE(Table1[[#This Row],[order_date]]),"")</f>
        <v/>
      </c>
      <c r="F449" t="str">
        <f>IF(ISBLANK(Table1[[#This Row],[customer_name]]),"Unknown Customer",PROPER(SUBSTITUTE(Table1[[#This Row],[customer_name]],"Cust.","Customer")))</f>
        <v>Unknown Customer</v>
      </c>
      <c r="G449" t="s">
        <v>26</v>
      </c>
      <c r="H449" t="str">
        <f>IFERROR(_xlfn.XLOOKUP(Table1[[#This Row],[region]],Mappings!$C$3:$C$8,Mappings!$D$3:$D$8,,0,1),"Unknown")</f>
        <v>Asia</v>
      </c>
      <c r="J449" t="str">
        <f>IFERROR(_xlfn.XLOOKUP(Table1[[#This Row],[sales_channel]],Table4[Original],Table4[Clean],,0,1),"Unknown")</f>
        <v>Unknown</v>
      </c>
      <c r="K449" t="s">
        <v>28</v>
      </c>
      <c r="L449" t="str">
        <f>IFERROR(_xlfn.XLOOKUP(Table1[[#This Row],[product]],Table3[Original],Table3[Product_clean],,0,1),"Unknown")</f>
        <v>Laptop</v>
      </c>
      <c r="M449" s="6">
        <v>1</v>
      </c>
      <c r="N449">
        <f>IF(ISNUMBER(Table1[[#This Row],[quantity]]),Table1[[#This Row],[quantity]],IFERROR(VLOOKUP(Table1[[#This Row],[quantity]],Table5[#All],2,FALSE),"Unknown"))</f>
        <v>1</v>
      </c>
      <c r="P449" t="str">
        <f>IFERROR(VALUE(SUBSTITUTE(SUBSTITUTE(SUBSTITUTE(Table1[[#This Row],[revenue]],"EUR",""),"$",""),".",",")),"")</f>
        <v/>
      </c>
      <c r="Q449" t="s">
        <v>58</v>
      </c>
      <c r="R449" t="str">
        <f>IF(OR(Table1[[#This Row],[currency]]="EUR",Table1[[#This Row],[currency]]="€"),"EUR",IF(OR(Table1[[#This Row],[currency]]="USD",Table1[[#This Row],[currency]]="$"),"USD","Unknown"))</f>
        <v>USD</v>
      </c>
      <c r="S449" t="s">
        <v>23</v>
      </c>
      <c r="T449" t="str">
        <f>IFERROR(_xlfn.XLOOKUP(Table1[[#This Row],[order_status]],Table8[Original],Table8[Clean],,0,1),"Unknown")</f>
        <v>Delivered</v>
      </c>
      <c r="U449">
        <v>1</v>
      </c>
      <c r="V449">
        <f>IF(ISNUMBER(Table1[[#This Row],[delivery_days]]),Table1[[#This Row],[delivery_days]],IFERROR(_xlfn.XLOOKUP(Table1[[#This Row],[delivery_days]],Table57[Original],Table57[Clean],,0,1),"Unknown"))</f>
        <v>1</v>
      </c>
      <c r="W449" t="s">
        <v>24</v>
      </c>
    </row>
    <row r="450" spans="1:23" x14ac:dyDescent="0.3">
      <c r="B450" t="str">
        <f>IF(ISBLANK(Table1[[#This Row],[order_id]]),"",IF(LEFT(Table1[[#This Row],[order_id]],3)="ORD",Table1[[#This Row],[order_id]],"ORD-" &amp; Table1[[#This Row],[order_id]]))</f>
        <v/>
      </c>
      <c r="C450" t="s">
        <v>1033</v>
      </c>
      <c r="D450" s="1">
        <f>IFERROR(DATEVALUE(Table1[[#This Row],[order_date]]),"")</f>
        <v>45298</v>
      </c>
      <c r="F450" t="str">
        <f>IF(ISBLANK(Table1[[#This Row],[customer_name]]),"Unknown Customer",PROPER(SUBSTITUTE(Table1[[#This Row],[customer_name]],"Cust.","Customer")))</f>
        <v>Unknown Customer</v>
      </c>
      <c r="G450" t="s">
        <v>54</v>
      </c>
      <c r="H450" t="str">
        <f>IFERROR(_xlfn.XLOOKUP(Table1[[#This Row],[region]],Mappings!$C$3:$C$8,Mappings!$D$3:$D$8,,0,1),"Unknown")</f>
        <v>USA</v>
      </c>
      <c r="I450" t="s">
        <v>27</v>
      </c>
      <c r="J450" t="str">
        <f>IFERROR(_xlfn.XLOOKUP(Table1[[#This Row],[sales_channel]],Table4[Original],Table4[Clean],,0,1),"Unknown")</f>
        <v>Online</v>
      </c>
      <c r="K450" t="s">
        <v>33</v>
      </c>
      <c r="L450" t="str">
        <f>IFERROR(_xlfn.XLOOKUP(Table1[[#This Row],[product]],Table3[Original],Table3[Product_clean],,0,1),"Unknown")</f>
        <v>Tablet</v>
      </c>
      <c r="M450" s="6" t="s">
        <v>83</v>
      </c>
      <c r="N450">
        <f>IF(ISNUMBER(Table1[[#This Row],[quantity]]),Table1[[#This Row],[quantity]],IFERROR(VLOOKUP(Table1[[#This Row],[quantity]],Table5[#All],2,FALSE),"Unknown"))</f>
        <v>2</v>
      </c>
      <c r="P450" t="str">
        <f>IFERROR(VALUE(SUBSTITUTE(SUBSTITUTE(SUBSTITUTE(Table1[[#This Row],[revenue]],"EUR",""),"$",""),".",",")),"")</f>
        <v/>
      </c>
      <c r="Q450" t="s">
        <v>22</v>
      </c>
      <c r="R450" t="str">
        <f>IF(OR(Table1[[#This Row],[currency]]="EUR",Table1[[#This Row],[currency]]="€"),"EUR",IF(OR(Table1[[#This Row],[currency]]="USD",Table1[[#This Row],[currency]]="$"),"USD","Unknown"))</f>
        <v>USD</v>
      </c>
      <c r="S450" t="s">
        <v>47</v>
      </c>
      <c r="T450" t="str">
        <f>IFERROR(_xlfn.XLOOKUP(Table1[[#This Row],[order_status]],Table8[Original],Table8[Clean],,0,1),"Unknown")</f>
        <v>Returned</v>
      </c>
      <c r="U450">
        <v>5</v>
      </c>
      <c r="V450">
        <f>IF(ISNUMBER(Table1[[#This Row],[delivery_days]]),Table1[[#This Row],[delivery_days]],IFERROR(_xlfn.XLOOKUP(Table1[[#This Row],[delivery_days]],Table57[Original],Table57[Clean],,0,1),"Unknown"))</f>
        <v>5</v>
      </c>
    </row>
    <row r="451" spans="1:23" x14ac:dyDescent="0.3">
      <c r="B451" t="str">
        <f>IF(ISBLANK(Table1[[#This Row],[order_id]]),"",IF(LEFT(Table1[[#This Row],[order_id]],3)="ORD",Table1[[#This Row],[order_id]],"ORD-" &amp; Table1[[#This Row],[order_id]]))</f>
        <v/>
      </c>
      <c r="C451" t="s">
        <v>1034</v>
      </c>
      <c r="D451" s="1">
        <f>IFERROR(DATEVALUE(Table1[[#This Row],[order_date]]),"")</f>
        <v>45362</v>
      </c>
      <c r="E451" t="s">
        <v>1035</v>
      </c>
      <c r="F451" t="str">
        <f>IF(ISBLANK(Table1[[#This Row],[customer_name]]),"Unknown Customer",PROPER(SUBSTITUTE(Table1[[#This Row],[customer_name]],"Cust.","Customer")))</f>
        <v>Customer 449</v>
      </c>
      <c r="G451" t="s">
        <v>73</v>
      </c>
      <c r="H451" t="str">
        <f>IFERROR(_xlfn.XLOOKUP(Table1[[#This Row],[region]],Mappings!$C$3:$C$8,Mappings!$D$3:$D$8,,0,1),"Unknown")</f>
        <v>Europe</v>
      </c>
      <c r="I451" t="s">
        <v>27</v>
      </c>
      <c r="J451" t="str">
        <f>IFERROR(_xlfn.XLOOKUP(Table1[[#This Row],[sales_channel]],Table4[Original],Table4[Clean],,0,1),"Unknown")</f>
        <v>Online</v>
      </c>
      <c r="K451" t="s">
        <v>28</v>
      </c>
      <c r="L451" t="str">
        <f>IFERROR(_xlfn.XLOOKUP(Table1[[#This Row],[product]],Table3[Original],Table3[Product_clean],,0,1),"Unknown")</f>
        <v>Laptop</v>
      </c>
      <c r="M451" s="6">
        <v>1</v>
      </c>
      <c r="N451">
        <f>IF(ISNUMBER(Table1[[#This Row],[quantity]]),Table1[[#This Row],[quantity]],IFERROR(VLOOKUP(Table1[[#This Row],[quantity]],Table5[#All],2,FALSE),"Unknown"))</f>
        <v>1</v>
      </c>
      <c r="O451" t="s">
        <v>1036</v>
      </c>
      <c r="P451">
        <f>IFERROR(VALUE(SUBSTITUTE(SUBSTITUTE(SUBSTITUTE(Table1[[#This Row],[revenue]],"EUR",""),"$",""),".",",")),"")</f>
        <v>1820.3</v>
      </c>
      <c r="Q451" t="s">
        <v>55</v>
      </c>
      <c r="R451" t="str">
        <f>IF(OR(Table1[[#This Row],[currency]]="EUR",Table1[[#This Row],[currency]]="€"),"EUR",IF(OR(Table1[[#This Row],[currency]]="USD",Table1[[#This Row],[currency]]="$"),"USD","Unknown"))</f>
        <v>EUR</v>
      </c>
      <c r="S451" t="s">
        <v>30</v>
      </c>
      <c r="T451" t="str">
        <f>IFERROR(_xlfn.XLOOKUP(Table1[[#This Row],[order_status]],Table8[Original],Table8[Clean],,0,1),"Unknown")</f>
        <v>Delivered</v>
      </c>
      <c r="U451">
        <v>2</v>
      </c>
      <c r="V451">
        <f>IF(ISNUMBER(Table1[[#This Row],[delivery_days]]),Table1[[#This Row],[delivery_days]],IFERROR(_xlfn.XLOOKUP(Table1[[#This Row],[delivery_days]],Table57[Original],Table57[Clean],,0,1),"Unknown"))</f>
        <v>2</v>
      </c>
    </row>
    <row r="452" spans="1:23" x14ac:dyDescent="0.3">
      <c r="A452" t="s">
        <v>1037</v>
      </c>
      <c r="B452" t="str">
        <f>IF(ISBLANK(Table1[[#This Row],[order_id]]),"",IF(LEFT(Table1[[#This Row],[order_id]],3)="ORD",Table1[[#This Row],[order_id]],"ORD-" &amp; Table1[[#This Row],[order_id]]))</f>
        <v>ORD-1450</v>
      </c>
      <c r="C452" t="s">
        <v>1038</v>
      </c>
      <c r="D452" s="1">
        <f>IFERROR(DATEVALUE(Table1[[#This Row],[order_date]]),"")</f>
        <v>45633</v>
      </c>
      <c r="E452" t="s">
        <v>1039</v>
      </c>
      <c r="F452" t="str">
        <f>IF(ISBLANK(Table1[[#This Row],[customer_name]]),"Unknown Customer",PROPER(SUBSTITUTE(Table1[[#This Row],[customer_name]],"Cust.","Customer")))</f>
        <v>Customer 450</v>
      </c>
      <c r="G452" t="s">
        <v>73</v>
      </c>
      <c r="H452" t="str">
        <f>IFERROR(_xlfn.XLOOKUP(Table1[[#This Row],[region]],Mappings!$C$3:$C$8,Mappings!$D$3:$D$8,,0,1),"Unknown")</f>
        <v>Europe</v>
      </c>
      <c r="I452" t="s">
        <v>78</v>
      </c>
      <c r="J452" t="str">
        <f>IFERROR(_xlfn.XLOOKUP(Table1[[#This Row],[sales_channel]],Table4[Original],Table4[Clean],,0,1),"Unknown")</f>
        <v>Mobile</v>
      </c>
      <c r="K452" t="s">
        <v>28</v>
      </c>
      <c r="L452" t="str">
        <f>IFERROR(_xlfn.XLOOKUP(Table1[[#This Row],[product]],Table3[Original],Table3[Product_clean],,0,1),"Unknown")</f>
        <v>Laptop</v>
      </c>
      <c r="M452" s="6">
        <v>2</v>
      </c>
      <c r="N452">
        <f>IF(ISNUMBER(Table1[[#This Row],[quantity]]),Table1[[#This Row],[quantity]],IFERROR(VLOOKUP(Table1[[#This Row],[quantity]],Table5[#All],2,FALSE),"Unknown"))</f>
        <v>2</v>
      </c>
      <c r="O452" t="s">
        <v>1040</v>
      </c>
      <c r="P452">
        <f>IFERROR(VALUE(SUBSTITUTE(SUBSTITUTE(SUBSTITUTE(Table1[[#This Row],[revenue]],"EUR",""),"$",""),".",",")),"")</f>
        <v>1755.37</v>
      </c>
      <c r="Q452" t="s">
        <v>55</v>
      </c>
      <c r="R452" t="str">
        <f>IF(OR(Table1[[#This Row],[currency]]="EUR",Table1[[#This Row],[currency]]="€"),"EUR",IF(OR(Table1[[#This Row],[currency]]="USD",Table1[[#This Row],[currency]]="$"),"USD","Unknown"))</f>
        <v>EUR</v>
      </c>
      <c r="S452" t="s">
        <v>18</v>
      </c>
      <c r="T452" t="str">
        <f>IFERROR(_xlfn.XLOOKUP(Table1[[#This Row],[order_status]],Table8[Original],Table8[Clean],,0,1),"Unknown")</f>
        <v>Pending</v>
      </c>
      <c r="V452" t="str">
        <f>IF(ISNUMBER(Table1[[#This Row],[delivery_days]]),Table1[[#This Row],[delivery_days]],IFERROR(_xlfn.XLOOKUP(Table1[[#This Row],[delivery_days]],Table57[Original],Table57[Clean],,0,1),"Unknown"))</f>
        <v>Unknown</v>
      </c>
      <c r="W452" t="s">
        <v>37</v>
      </c>
    </row>
    <row r="453" spans="1:23" x14ac:dyDescent="0.3">
      <c r="A453">
        <v>1451</v>
      </c>
      <c r="B453" t="str">
        <f>IF(ISBLANK(Table1[[#This Row],[order_id]]),"",IF(LEFT(Table1[[#This Row],[order_id]],3)="ORD",Table1[[#This Row],[order_id]],"ORD-" &amp; Table1[[#This Row],[order_id]]))</f>
        <v>ORD-1451</v>
      </c>
      <c r="C453" t="s">
        <v>1041</v>
      </c>
      <c r="D453" s="1">
        <f>IFERROR(DATEVALUE(Table1[[#This Row],[order_date]]),"")</f>
        <v>45525</v>
      </c>
      <c r="E453" t="s">
        <v>1042</v>
      </c>
      <c r="F453" t="str">
        <f>IF(ISBLANK(Table1[[#This Row],[customer_name]]),"Unknown Customer",PROPER(SUBSTITUTE(Table1[[#This Row],[customer_name]],"Cust.","Customer")))</f>
        <v>Customer 451</v>
      </c>
      <c r="G453" t="s">
        <v>26</v>
      </c>
      <c r="H453" t="str">
        <f>IFERROR(_xlfn.XLOOKUP(Table1[[#This Row],[region]],Mappings!$C$3:$C$8,Mappings!$D$3:$D$8,,0,1),"Unknown")</f>
        <v>Asia</v>
      </c>
      <c r="I453" t="s">
        <v>50</v>
      </c>
      <c r="J453" t="str">
        <f>IFERROR(_xlfn.XLOOKUP(Table1[[#This Row],[sales_channel]],Table4[Original],Table4[Clean],,0,1),"Unknown")</f>
        <v>Mobile</v>
      </c>
      <c r="K453" t="s">
        <v>41</v>
      </c>
      <c r="L453" t="str">
        <f>IFERROR(_xlfn.XLOOKUP(Table1[[#This Row],[product]],Table3[Original],Table3[Product_clean],,0,1),"Unknown")</f>
        <v>Phone</v>
      </c>
      <c r="M453" s="6">
        <v>1</v>
      </c>
      <c r="N453">
        <f>IF(ISNUMBER(Table1[[#This Row],[quantity]]),Table1[[#This Row],[quantity]],IFERROR(VLOOKUP(Table1[[#This Row],[quantity]],Table5[#All],2,FALSE),"Unknown"))</f>
        <v>1</v>
      </c>
      <c r="O453" t="s">
        <v>1043</v>
      </c>
      <c r="P453">
        <f>IFERROR(VALUE(SUBSTITUTE(SUBSTITUTE(SUBSTITUTE(Table1[[#This Row],[revenue]],"EUR",""),"$",""),".",",")),"")</f>
        <v>2260.54</v>
      </c>
      <c r="Q453" t="s">
        <v>22</v>
      </c>
      <c r="R453" t="str">
        <f>IF(OR(Table1[[#This Row],[currency]]="EUR",Table1[[#This Row],[currency]]="€"),"EUR",IF(OR(Table1[[#This Row],[currency]]="USD",Table1[[#This Row],[currency]]="$"),"USD","Unknown"))</f>
        <v>USD</v>
      </c>
      <c r="S453" t="s">
        <v>18</v>
      </c>
      <c r="T453" t="str">
        <f>IFERROR(_xlfn.XLOOKUP(Table1[[#This Row],[order_status]],Table8[Original],Table8[Clean],,0,1),"Unknown")</f>
        <v>Pending</v>
      </c>
      <c r="U453">
        <v>1</v>
      </c>
      <c r="V453">
        <f>IF(ISNUMBER(Table1[[#This Row],[delivery_days]]),Table1[[#This Row],[delivery_days]],IFERROR(_xlfn.XLOOKUP(Table1[[#This Row],[delivery_days]],Table57[Original],Table57[Clean],,0,1),"Unknown"))</f>
        <v>1</v>
      </c>
      <c r="W453" t="s">
        <v>24</v>
      </c>
    </row>
    <row r="454" spans="1:23" x14ac:dyDescent="0.3">
      <c r="A454" t="s">
        <v>1044</v>
      </c>
      <c r="B454" t="str">
        <f>IF(ISBLANK(Table1[[#This Row],[order_id]]),"",IF(LEFT(Table1[[#This Row],[order_id]],3)="ORD",Table1[[#This Row],[order_id]],"ORD-" &amp; Table1[[#This Row],[order_id]]))</f>
        <v>ORD-1452</v>
      </c>
      <c r="D454" s="1" t="str">
        <f>IFERROR(DATEVALUE(Table1[[#This Row],[order_date]]),"")</f>
        <v/>
      </c>
      <c r="E454" t="s">
        <v>1045</v>
      </c>
      <c r="F454" t="str">
        <f>IF(ISBLANK(Table1[[#This Row],[customer_name]]),"Unknown Customer",PROPER(SUBSTITUTE(Table1[[#This Row],[customer_name]],"Cust.","Customer")))</f>
        <v>Customer 452</v>
      </c>
      <c r="H454" t="str">
        <f>IFERROR(_xlfn.XLOOKUP(Table1[[#This Row],[region]],Mappings!$C$3:$C$8,Mappings!$D$3:$D$8,,0,1),"Unknown")</f>
        <v>Unknown</v>
      </c>
      <c r="I454" t="s">
        <v>27</v>
      </c>
      <c r="J454" t="str">
        <f>IFERROR(_xlfn.XLOOKUP(Table1[[#This Row],[sales_channel]],Table4[Original],Table4[Clean],,0,1),"Unknown")</f>
        <v>Online</v>
      </c>
      <c r="K454" t="s">
        <v>33</v>
      </c>
      <c r="L454" t="str">
        <f>IFERROR(_xlfn.XLOOKUP(Table1[[#This Row],[product]],Table3[Original],Table3[Product_clean],,0,1),"Unknown")</f>
        <v>Tablet</v>
      </c>
      <c r="M454" s="6">
        <v>1</v>
      </c>
      <c r="N454">
        <f>IF(ISNUMBER(Table1[[#This Row],[quantity]]),Table1[[#This Row],[quantity]],IFERROR(VLOOKUP(Table1[[#This Row],[quantity]],Table5[#All],2,FALSE),"Unknown"))</f>
        <v>1</v>
      </c>
      <c r="O454" t="s">
        <v>1046</v>
      </c>
      <c r="P454">
        <f>IFERROR(VALUE(SUBSTITUTE(SUBSTITUTE(SUBSTITUTE(Table1[[#This Row],[revenue]],"EUR",""),"$",""),".",",")),"")</f>
        <v>446.91</v>
      </c>
      <c r="Q454" t="s">
        <v>17</v>
      </c>
      <c r="R454" t="str">
        <f>IF(OR(Table1[[#This Row],[currency]]="EUR",Table1[[#This Row],[currency]]="€"),"EUR",IF(OR(Table1[[#This Row],[currency]]="USD",Table1[[#This Row],[currency]]="$"),"USD","Unknown"))</f>
        <v>EUR</v>
      </c>
      <c r="S454" t="s">
        <v>18</v>
      </c>
      <c r="T454" t="str">
        <f>IFERROR(_xlfn.XLOOKUP(Table1[[#This Row],[order_status]],Table8[Original],Table8[Clean],,0,1),"Unknown")</f>
        <v>Pending</v>
      </c>
      <c r="V454" t="str">
        <f>IF(ISNUMBER(Table1[[#This Row],[delivery_days]]),Table1[[#This Row],[delivery_days]],IFERROR(_xlfn.XLOOKUP(Table1[[#This Row],[delivery_days]],Table57[Original],Table57[Clean],,0,1),"Unknown"))</f>
        <v>Unknown</v>
      </c>
    </row>
    <row r="455" spans="1:23" x14ac:dyDescent="0.3">
      <c r="A455" t="s">
        <v>1047</v>
      </c>
      <c r="B455" t="str">
        <f>IF(ISBLANK(Table1[[#This Row],[order_id]]),"",IF(LEFT(Table1[[#This Row],[order_id]],3)="ORD",Table1[[#This Row],[order_id]],"ORD-" &amp; Table1[[#This Row],[order_id]]))</f>
        <v>ORD-1453</v>
      </c>
      <c r="C455" t="s">
        <v>1048</v>
      </c>
      <c r="D455" s="1">
        <f>IFERROR(DATEVALUE(Table1[[#This Row],[order_date]]),"")</f>
        <v>45391</v>
      </c>
      <c r="E455" t="s">
        <v>1049</v>
      </c>
      <c r="F455" t="str">
        <f>IF(ISBLANK(Table1[[#This Row],[customer_name]]),"Unknown Customer",PROPER(SUBSTITUTE(Table1[[#This Row],[customer_name]],"Cust.","Customer")))</f>
        <v>Customer 453</v>
      </c>
      <c r="G455" t="s">
        <v>45</v>
      </c>
      <c r="H455" t="str">
        <f>IFERROR(_xlfn.XLOOKUP(Table1[[#This Row],[region]],Mappings!$C$3:$C$8,Mappings!$D$3:$D$8,,0,1),"Unknown")</f>
        <v>USA</v>
      </c>
      <c r="I455" t="s">
        <v>68</v>
      </c>
      <c r="J455" t="str">
        <f>IFERROR(_xlfn.XLOOKUP(Table1[[#This Row],[sales_channel]],Table4[Original],Table4[Clean],,0,1),"Unknown")</f>
        <v>Online</v>
      </c>
      <c r="K455" t="s">
        <v>33</v>
      </c>
      <c r="L455" t="str">
        <f>IFERROR(_xlfn.XLOOKUP(Table1[[#This Row],[product]],Table3[Original],Table3[Product_clean],,0,1),"Unknown")</f>
        <v>Tablet</v>
      </c>
      <c r="M455" s="6">
        <v>3</v>
      </c>
      <c r="N455">
        <f>IF(ISNUMBER(Table1[[#This Row],[quantity]]),Table1[[#This Row],[quantity]],IFERROR(VLOOKUP(Table1[[#This Row],[quantity]],Table5[#All],2,FALSE),"Unknown"))</f>
        <v>3</v>
      </c>
      <c r="O455" t="s">
        <v>1050</v>
      </c>
      <c r="P455">
        <f>IFERROR(VALUE(SUBSTITUTE(SUBSTITUTE(SUBSTITUTE(Table1[[#This Row],[revenue]],"EUR",""),"$",""),".",",")),"")</f>
        <v>2186.02</v>
      </c>
      <c r="Q455" t="s">
        <v>58</v>
      </c>
      <c r="R455" t="str">
        <f>IF(OR(Table1[[#This Row],[currency]]="EUR",Table1[[#This Row],[currency]]="€"),"EUR",IF(OR(Table1[[#This Row],[currency]]="USD",Table1[[#This Row],[currency]]="$"),"USD","Unknown"))</f>
        <v>USD</v>
      </c>
      <c r="S455" t="s">
        <v>18</v>
      </c>
      <c r="T455" t="str">
        <f>IFERROR(_xlfn.XLOOKUP(Table1[[#This Row],[order_status]],Table8[Original],Table8[Clean],,0,1),"Unknown")</f>
        <v>Pending</v>
      </c>
      <c r="U455" t="s">
        <v>36</v>
      </c>
      <c r="V455">
        <f>IF(ISNUMBER(Table1[[#This Row],[delivery_days]]),Table1[[#This Row],[delivery_days]],IFERROR(_xlfn.XLOOKUP(Table1[[#This Row],[delivery_days]],Table57[Original],Table57[Clean],,0,1),"Unknown"))</f>
        <v>5</v>
      </c>
    </row>
    <row r="456" spans="1:23" x14ac:dyDescent="0.3">
      <c r="A456" t="s">
        <v>1051</v>
      </c>
      <c r="B456" t="str">
        <f>IF(ISBLANK(Table1[[#This Row],[order_id]]),"",IF(LEFT(Table1[[#This Row],[order_id]],3)="ORD",Table1[[#This Row],[order_id]],"ORD-" &amp; Table1[[#This Row],[order_id]]))</f>
        <v>ORD-1454</v>
      </c>
      <c r="C456" t="s">
        <v>1020</v>
      </c>
      <c r="D456" s="1">
        <f>IFERROR(DATEVALUE(Table1[[#This Row],[order_date]]),"")</f>
        <v>45558</v>
      </c>
      <c r="E456" t="s">
        <v>1052</v>
      </c>
      <c r="F456" t="str">
        <f>IF(ISBLANK(Table1[[#This Row],[customer_name]]),"Unknown Customer",PROPER(SUBSTITUTE(Table1[[#This Row],[customer_name]],"Cust.","Customer")))</f>
        <v>Customer 454</v>
      </c>
      <c r="H456" t="str">
        <f>IFERROR(_xlfn.XLOOKUP(Table1[[#This Row],[region]],Mappings!$C$3:$C$8,Mappings!$D$3:$D$8,,0,1),"Unknown")</f>
        <v>Unknown</v>
      </c>
      <c r="I456" t="s">
        <v>50</v>
      </c>
      <c r="J456" t="str">
        <f>IFERROR(_xlfn.XLOOKUP(Table1[[#This Row],[sales_channel]],Table4[Original],Table4[Clean],,0,1),"Unknown")</f>
        <v>Mobile</v>
      </c>
      <c r="K456" t="s">
        <v>28</v>
      </c>
      <c r="L456" t="str">
        <f>IFERROR(_xlfn.XLOOKUP(Table1[[#This Row],[product]],Table3[Original],Table3[Product_clean],,0,1),"Unknown")</f>
        <v>Laptop</v>
      </c>
      <c r="M456" s="6">
        <v>1</v>
      </c>
      <c r="N456">
        <f>IF(ISNUMBER(Table1[[#This Row],[quantity]]),Table1[[#This Row],[quantity]],IFERROR(VLOOKUP(Table1[[#This Row],[quantity]],Table5[#All],2,FALSE),"Unknown"))</f>
        <v>1</v>
      </c>
      <c r="P456" t="str">
        <f>IFERROR(VALUE(SUBSTITUTE(SUBSTITUTE(SUBSTITUTE(Table1[[#This Row],[revenue]],"EUR",""),"$",""),".",",")),"")</f>
        <v/>
      </c>
      <c r="Q456" t="s">
        <v>17</v>
      </c>
      <c r="R456" t="str">
        <f>IF(OR(Table1[[#This Row],[currency]]="EUR",Table1[[#This Row],[currency]]="€"),"EUR",IF(OR(Table1[[#This Row],[currency]]="USD",Table1[[#This Row],[currency]]="$"),"USD","Unknown"))</f>
        <v>EUR</v>
      </c>
      <c r="S456" t="s">
        <v>30</v>
      </c>
      <c r="T456" t="str">
        <f>IFERROR(_xlfn.XLOOKUP(Table1[[#This Row],[order_status]],Table8[Original],Table8[Clean],,0,1),"Unknown")</f>
        <v>Delivered</v>
      </c>
      <c r="U456">
        <v>5</v>
      </c>
      <c r="V456">
        <f>IF(ISNUMBER(Table1[[#This Row],[delivery_days]]),Table1[[#This Row],[delivery_days]],IFERROR(_xlfn.XLOOKUP(Table1[[#This Row],[delivery_days]],Table57[Original],Table57[Clean],,0,1),"Unknown"))</f>
        <v>5</v>
      </c>
    </row>
    <row r="457" spans="1:23" x14ac:dyDescent="0.3">
      <c r="A457" t="s">
        <v>1053</v>
      </c>
      <c r="B457" t="str">
        <f>IF(ISBLANK(Table1[[#This Row],[order_id]]),"",IF(LEFT(Table1[[#This Row],[order_id]],3)="ORD",Table1[[#This Row],[order_id]],"ORD-" &amp; Table1[[#This Row],[order_id]]))</f>
        <v>ORD-1455</v>
      </c>
      <c r="C457" t="s">
        <v>1054</v>
      </c>
      <c r="D457" s="1">
        <f>IFERROR(DATEVALUE(Table1[[#This Row],[order_date]]),"")</f>
        <v>45669</v>
      </c>
      <c r="E457" t="s">
        <v>1055</v>
      </c>
      <c r="F457" t="str">
        <f>IF(ISBLANK(Table1[[#This Row],[customer_name]]),"Unknown Customer",PROPER(SUBSTITUTE(Table1[[#This Row],[customer_name]],"Cust.","Customer")))</f>
        <v>Customer 455</v>
      </c>
      <c r="G457" t="s">
        <v>26</v>
      </c>
      <c r="H457" t="str">
        <f>IFERROR(_xlfn.XLOOKUP(Table1[[#This Row],[region]],Mappings!$C$3:$C$8,Mappings!$D$3:$D$8,,0,1),"Unknown")</f>
        <v>Asia</v>
      </c>
      <c r="I457" t="s">
        <v>68</v>
      </c>
      <c r="J457" t="str">
        <f>IFERROR(_xlfn.XLOOKUP(Table1[[#This Row],[sales_channel]],Table4[Original],Table4[Clean],,0,1),"Unknown")</f>
        <v>Online</v>
      </c>
      <c r="L457" t="str">
        <f>IFERROR(_xlfn.XLOOKUP(Table1[[#This Row],[product]],Table3[Original],Table3[Product_clean],,0,1),"Unknown")</f>
        <v>Unknown</v>
      </c>
      <c r="M457" s="6">
        <v>2</v>
      </c>
      <c r="N457">
        <f>IF(ISNUMBER(Table1[[#This Row],[quantity]]),Table1[[#This Row],[quantity]],IFERROR(VLOOKUP(Table1[[#This Row],[quantity]],Table5[#All],2,FALSE),"Unknown"))</f>
        <v>2</v>
      </c>
      <c r="P457" t="str">
        <f>IFERROR(VALUE(SUBSTITUTE(SUBSTITUTE(SUBSTITUTE(Table1[[#This Row],[revenue]],"EUR",""),"$",""),".",",")),"")</f>
        <v/>
      </c>
      <c r="Q457" t="s">
        <v>17</v>
      </c>
      <c r="R457" t="str">
        <f>IF(OR(Table1[[#This Row],[currency]]="EUR",Table1[[#This Row],[currency]]="€"),"EUR",IF(OR(Table1[[#This Row],[currency]]="USD",Table1[[#This Row],[currency]]="$"),"USD","Unknown"))</f>
        <v>EUR</v>
      </c>
      <c r="T457" t="str">
        <f>IFERROR(_xlfn.XLOOKUP(Table1[[#This Row],[order_status]],Table8[Original],Table8[Clean],,0,1),"Unknown")</f>
        <v>Unknown</v>
      </c>
      <c r="U457">
        <v>2</v>
      </c>
      <c r="V457">
        <f>IF(ISNUMBER(Table1[[#This Row],[delivery_days]]),Table1[[#This Row],[delivery_days]],IFERROR(_xlfn.XLOOKUP(Table1[[#This Row],[delivery_days]],Table57[Original],Table57[Clean],,0,1),"Unknown"))</f>
        <v>2</v>
      </c>
      <c r="W457" t="s">
        <v>24</v>
      </c>
    </row>
    <row r="458" spans="1:23" x14ac:dyDescent="0.3">
      <c r="A458" t="s">
        <v>1056</v>
      </c>
      <c r="B458" t="str">
        <f>IF(ISBLANK(Table1[[#This Row],[order_id]]),"",IF(LEFT(Table1[[#This Row],[order_id]],3)="ORD",Table1[[#This Row],[order_id]],"ORD-" &amp; Table1[[#This Row],[order_id]]))</f>
        <v>ORD-1456</v>
      </c>
      <c r="C458" t="s">
        <v>1057</v>
      </c>
      <c r="D458" s="1">
        <f>IFERROR(DATEVALUE(Table1[[#This Row],[order_date]]),"")</f>
        <v>45570</v>
      </c>
      <c r="E458" t="s">
        <v>1058</v>
      </c>
      <c r="F458" t="str">
        <f>IF(ISBLANK(Table1[[#This Row],[customer_name]]),"Unknown Customer",PROPER(SUBSTITUTE(Table1[[#This Row],[customer_name]],"Cust.","Customer")))</f>
        <v>Customer 456</v>
      </c>
      <c r="G458" t="s">
        <v>73</v>
      </c>
      <c r="H458" t="str">
        <f>IFERROR(_xlfn.XLOOKUP(Table1[[#This Row],[region]],Mappings!$C$3:$C$8,Mappings!$D$3:$D$8,,0,1),"Unknown")</f>
        <v>Europe</v>
      </c>
      <c r="J458" t="str">
        <f>IFERROR(_xlfn.XLOOKUP(Table1[[#This Row],[sales_channel]],Table4[Original],Table4[Clean],,0,1),"Unknown")</f>
        <v>Unknown</v>
      </c>
      <c r="K458" t="s">
        <v>102</v>
      </c>
      <c r="L458" t="str">
        <f>IFERROR(_xlfn.XLOOKUP(Table1[[#This Row],[product]],Table3[Original],Table3[Product_clean],,0,1),"Unknown")</f>
        <v>Phone</v>
      </c>
      <c r="M458" s="6">
        <v>3</v>
      </c>
      <c r="N458">
        <f>IF(ISNUMBER(Table1[[#This Row],[quantity]]),Table1[[#This Row],[quantity]],IFERROR(VLOOKUP(Table1[[#This Row],[quantity]],Table5[#All],2,FALSE),"Unknown"))</f>
        <v>3</v>
      </c>
      <c r="O458" t="s">
        <v>1059</v>
      </c>
      <c r="P458">
        <f>IFERROR(VALUE(SUBSTITUTE(SUBSTITUTE(SUBSTITUTE(Table1[[#This Row],[revenue]],"EUR",""),"$",""),".",",")),"")</f>
        <v>2381.08</v>
      </c>
      <c r="Q458" t="s">
        <v>22</v>
      </c>
      <c r="R458" t="str">
        <f>IF(OR(Table1[[#This Row],[currency]]="EUR",Table1[[#This Row],[currency]]="€"),"EUR",IF(OR(Table1[[#This Row],[currency]]="USD",Table1[[#This Row],[currency]]="$"),"USD","Unknown"))</f>
        <v>USD</v>
      </c>
      <c r="T458" t="str">
        <f>IFERROR(_xlfn.XLOOKUP(Table1[[#This Row],[order_status]],Table8[Original],Table8[Clean],,0,1),"Unknown")</f>
        <v>Unknown</v>
      </c>
      <c r="U458" t="s">
        <v>36</v>
      </c>
      <c r="V458">
        <f>IF(ISNUMBER(Table1[[#This Row],[delivery_days]]),Table1[[#This Row],[delivery_days]],IFERROR(_xlfn.XLOOKUP(Table1[[#This Row],[delivery_days]],Table57[Original],Table57[Clean],,0,1),"Unknown"))</f>
        <v>5</v>
      </c>
    </row>
    <row r="459" spans="1:23" x14ac:dyDescent="0.3">
      <c r="B459" t="str">
        <f>IF(ISBLANK(Table1[[#This Row],[order_id]]),"",IF(LEFT(Table1[[#This Row],[order_id]],3)="ORD",Table1[[#This Row],[order_id]],"ORD-" &amp; Table1[[#This Row],[order_id]]))</f>
        <v/>
      </c>
      <c r="D459" s="1" t="str">
        <f>IFERROR(DATEVALUE(Table1[[#This Row],[order_date]]),"")</f>
        <v/>
      </c>
      <c r="F459" t="str">
        <f>IF(ISBLANK(Table1[[#This Row],[customer_name]]),"Unknown Customer",PROPER(SUBSTITUTE(Table1[[#This Row],[customer_name]],"Cust.","Customer")))</f>
        <v>Unknown Customer</v>
      </c>
      <c r="H459" t="str">
        <f>IFERROR(_xlfn.XLOOKUP(Table1[[#This Row],[region]],Mappings!$C$3:$C$8,Mappings!$D$3:$D$8,,0,1),"Unknown")</f>
        <v>Unknown</v>
      </c>
      <c r="I459" t="s">
        <v>14</v>
      </c>
      <c r="J459" t="str">
        <f>IFERROR(_xlfn.XLOOKUP(Table1[[#This Row],[sales_channel]],Table4[Original],Table4[Clean],,0,1),"Unknown")</f>
        <v>Online</v>
      </c>
      <c r="K459" t="s">
        <v>15</v>
      </c>
      <c r="L459" t="str">
        <f>IFERROR(_xlfn.XLOOKUP(Table1[[#This Row],[product]],Table3[Original],Table3[Product_clean],,0,1),"Unknown")</f>
        <v>Tablet</v>
      </c>
      <c r="M459" s="6">
        <v>2</v>
      </c>
      <c r="N459">
        <f>IF(ISNUMBER(Table1[[#This Row],[quantity]]),Table1[[#This Row],[quantity]],IFERROR(VLOOKUP(Table1[[#This Row],[quantity]],Table5[#All],2,FALSE),"Unknown"))</f>
        <v>2</v>
      </c>
      <c r="O459" t="s">
        <v>1060</v>
      </c>
      <c r="P459">
        <f>IFERROR(VALUE(SUBSTITUTE(SUBSTITUTE(SUBSTITUTE(Table1[[#This Row],[revenue]],"EUR",""),"$",""),".",",")),"")</f>
        <v>622.35</v>
      </c>
      <c r="Q459" t="s">
        <v>22</v>
      </c>
      <c r="R459" t="str">
        <f>IF(OR(Table1[[#This Row],[currency]]="EUR",Table1[[#This Row],[currency]]="€"),"EUR",IF(OR(Table1[[#This Row],[currency]]="USD",Table1[[#This Row],[currency]]="$"),"USD","Unknown"))</f>
        <v>USD</v>
      </c>
      <c r="S459" t="s">
        <v>23</v>
      </c>
      <c r="T459" t="str">
        <f>IFERROR(_xlfn.XLOOKUP(Table1[[#This Row],[order_status]],Table8[Original],Table8[Clean],,0,1),"Unknown")</f>
        <v>Delivered</v>
      </c>
      <c r="V459" t="str">
        <f>IF(ISNUMBER(Table1[[#This Row],[delivery_days]]),Table1[[#This Row],[delivery_days]],IFERROR(_xlfn.XLOOKUP(Table1[[#This Row],[delivery_days]],Table57[Original],Table57[Clean],,0,1),"Unknown"))</f>
        <v>Unknown</v>
      </c>
    </row>
    <row r="460" spans="1:23" x14ac:dyDescent="0.3">
      <c r="A460" t="s">
        <v>1061</v>
      </c>
      <c r="B460" t="str">
        <f>IF(ISBLANK(Table1[[#This Row],[order_id]]),"",IF(LEFT(Table1[[#This Row],[order_id]],3)="ORD",Table1[[#This Row],[order_id]],"ORD-" &amp; Table1[[#This Row],[order_id]]))</f>
        <v>ORD-1458</v>
      </c>
      <c r="C460" t="s">
        <v>1062</v>
      </c>
      <c r="D460" s="1">
        <f>IFERROR(DATEVALUE(Table1[[#This Row],[order_date]]),"")</f>
        <v>45566</v>
      </c>
      <c r="E460" t="s">
        <v>1063</v>
      </c>
      <c r="F460" t="str">
        <f>IF(ISBLANK(Table1[[#This Row],[customer_name]]),"Unknown Customer",PROPER(SUBSTITUTE(Table1[[#This Row],[customer_name]],"Cust.","Customer")))</f>
        <v>Customer 458</v>
      </c>
      <c r="G460" t="s">
        <v>45</v>
      </c>
      <c r="H460" t="str">
        <f>IFERROR(_xlfn.XLOOKUP(Table1[[#This Row],[region]],Mappings!$C$3:$C$8,Mappings!$D$3:$D$8,,0,1),"Unknown")</f>
        <v>USA</v>
      </c>
      <c r="J460" t="str">
        <f>IFERROR(_xlfn.XLOOKUP(Table1[[#This Row],[sales_channel]],Table4[Original],Table4[Clean],,0,1),"Unknown")</f>
        <v>Unknown</v>
      </c>
      <c r="K460" t="s">
        <v>15</v>
      </c>
      <c r="L460" t="str">
        <f>IFERROR(_xlfn.XLOOKUP(Table1[[#This Row],[product]],Table3[Original],Table3[Product_clean],,0,1),"Unknown")</f>
        <v>Tablet</v>
      </c>
      <c r="M460" s="6">
        <v>3</v>
      </c>
      <c r="N460">
        <f>IF(ISNUMBER(Table1[[#This Row],[quantity]]),Table1[[#This Row],[quantity]],IFERROR(VLOOKUP(Table1[[#This Row],[quantity]],Table5[#All],2,FALSE),"Unknown"))</f>
        <v>3</v>
      </c>
      <c r="P460" t="str">
        <f>IFERROR(VALUE(SUBSTITUTE(SUBSTITUTE(SUBSTITUTE(Table1[[#This Row],[revenue]],"EUR",""),"$",""),".",",")),"")</f>
        <v/>
      </c>
      <c r="R460" t="str">
        <f>IF(OR(Table1[[#This Row],[currency]]="EUR",Table1[[#This Row],[currency]]="€"),"EUR",IF(OR(Table1[[#This Row],[currency]]="USD",Table1[[#This Row],[currency]]="$"),"USD","Unknown"))</f>
        <v>Unknown</v>
      </c>
      <c r="S460" t="s">
        <v>18</v>
      </c>
      <c r="T460" t="str">
        <f>IFERROR(_xlfn.XLOOKUP(Table1[[#This Row],[order_status]],Table8[Original],Table8[Clean],,0,1),"Unknown")</f>
        <v>Pending</v>
      </c>
      <c r="U460">
        <v>1</v>
      </c>
      <c r="V460">
        <f>IF(ISNUMBER(Table1[[#This Row],[delivery_days]]),Table1[[#This Row],[delivery_days]],IFERROR(_xlfn.XLOOKUP(Table1[[#This Row],[delivery_days]],Table57[Original],Table57[Clean],,0,1),"Unknown"))</f>
        <v>1</v>
      </c>
      <c r="W460" t="s">
        <v>37</v>
      </c>
    </row>
    <row r="461" spans="1:23" x14ac:dyDescent="0.3">
      <c r="A461">
        <v>1459</v>
      </c>
      <c r="B461" t="str">
        <f>IF(ISBLANK(Table1[[#This Row],[order_id]]),"",IF(LEFT(Table1[[#This Row],[order_id]],3)="ORD",Table1[[#This Row],[order_id]],"ORD-" &amp; Table1[[#This Row],[order_id]]))</f>
        <v>ORD-1459</v>
      </c>
      <c r="C461" t="s">
        <v>1064</v>
      </c>
      <c r="D461" s="1">
        <f>IFERROR(DATEVALUE(Table1[[#This Row],[order_date]]),"")</f>
        <v>45587</v>
      </c>
      <c r="E461" t="s">
        <v>1065</v>
      </c>
      <c r="F461" t="str">
        <f>IF(ISBLANK(Table1[[#This Row],[customer_name]]),"Unknown Customer",PROPER(SUBSTITUTE(Table1[[#This Row],[customer_name]],"Cust.","Customer")))</f>
        <v>Customer 459</v>
      </c>
      <c r="H461" t="str">
        <f>IFERROR(_xlfn.XLOOKUP(Table1[[#This Row],[region]],Mappings!$C$3:$C$8,Mappings!$D$3:$D$8,,0,1),"Unknown")</f>
        <v>Unknown</v>
      </c>
      <c r="I461" t="s">
        <v>14</v>
      </c>
      <c r="J461" t="str">
        <f>IFERROR(_xlfn.XLOOKUP(Table1[[#This Row],[sales_channel]],Table4[Original],Table4[Clean],,0,1),"Unknown")</f>
        <v>Online</v>
      </c>
      <c r="K461" t="s">
        <v>102</v>
      </c>
      <c r="L461" t="str">
        <f>IFERROR(_xlfn.XLOOKUP(Table1[[#This Row],[product]],Table3[Original],Table3[Product_clean],,0,1),"Unknown")</f>
        <v>Phone</v>
      </c>
      <c r="M461" s="6" t="s">
        <v>83</v>
      </c>
      <c r="N461">
        <f>IF(ISNUMBER(Table1[[#This Row],[quantity]]),Table1[[#This Row],[quantity]],IFERROR(VLOOKUP(Table1[[#This Row],[quantity]],Table5[#All],2,FALSE),"Unknown"))</f>
        <v>2</v>
      </c>
      <c r="O461" t="s">
        <v>1066</v>
      </c>
      <c r="P461">
        <f>IFERROR(VALUE(SUBSTITUTE(SUBSTITUTE(SUBSTITUTE(Table1[[#This Row],[revenue]],"EUR",""),"$",""),".",",")),"")</f>
        <v>2072.21</v>
      </c>
      <c r="R461" t="str">
        <f>IF(OR(Table1[[#This Row],[currency]]="EUR",Table1[[#This Row],[currency]]="€"),"EUR",IF(OR(Table1[[#This Row],[currency]]="USD",Table1[[#This Row],[currency]]="$"),"USD","Unknown"))</f>
        <v>Unknown</v>
      </c>
      <c r="S461" t="s">
        <v>23</v>
      </c>
      <c r="T461" t="str">
        <f>IFERROR(_xlfn.XLOOKUP(Table1[[#This Row],[order_status]],Table8[Original],Table8[Clean],,0,1),"Unknown")</f>
        <v>Delivered</v>
      </c>
      <c r="U461" t="s">
        <v>36</v>
      </c>
      <c r="V461">
        <f>IF(ISNUMBER(Table1[[#This Row],[delivery_days]]),Table1[[#This Row],[delivery_days]],IFERROR(_xlfn.XLOOKUP(Table1[[#This Row],[delivery_days]],Table57[Original],Table57[Clean],,0,1),"Unknown"))</f>
        <v>5</v>
      </c>
    </row>
    <row r="462" spans="1:23" x14ac:dyDescent="0.3">
      <c r="B462" t="str">
        <f>IF(ISBLANK(Table1[[#This Row],[order_id]]),"",IF(LEFT(Table1[[#This Row],[order_id]],3)="ORD",Table1[[#This Row],[order_id]],"ORD-" &amp; Table1[[#This Row],[order_id]]))</f>
        <v/>
      </c>
      <c r="C462" t="s">
        <v>1067</v>
      </c>
      <c r="D462" s="1">
        <f>IFERROR(DATEVALUE(Table1[[#This Row],[order_date]]),"")</f>
        <v>45416</v>
      </c>
      <c r="E462" t="s">
        <v>1068</v>
      </c>
      <c r="F462" t="str">
        <f>IF(ISBLANK(Table1[[#This Row],[customer_name]]),"Unknown Customer",PROPER(SUBSTITUTE(Table1[[#This Row],[customer_name]],"Cust.","Customer")))</f>
        <v>Customer 460</v>
      </c>
      <c r="G462" t="s">
        <v>26</v>
      </c>
      <c r="H462" t="str">
        <f>IFERROR(_xlfn.XLOOKUP(Table1[[#This Row],[region]],Mappings!$C$3:$C$8,Mappings!$D$3:$D$8,,0,1),"Unknown")</f>
        <v>Asia</v>
      </c>
      <c r="I462" t="s">
        <v>78</v>
      </c>
      <c r="J462" t="str">
        <f>IFERROR(_xlfn.XLOOKUP(Table1[[#This Row],[sales_channel]],Table4[Original],Table4[Clean],,0,1),"Unknown")</f>
        <v>Mobile</v>
      </c>
      <c r="K462" t="s">
        <v>51</v>
      </c>
      <c r="L462" t="str">
        <f>IFERROR(_xlfn.XLOOKUP(Table1[[#This Row],[product]],Table3[Original],Table3[Product_clean],,0,1),"Unknown")</f>
        <v>Laptop</v>
      </c>
      <c r="M462" s="6" t="s">
        <v>83</v>
      </c>
      <c r="N462">
        <f>IF(ISNUMBER(Table1[[#This Row],[quantity]]),Table1[[#This Row],[quantity]],IFERROR(VLOOKUP(Table1[[#This Row],[quantity]],Table5[#All],2,FALSE),"Unknown"))</f>
        <v>2</v>
      </c>
      <c r="O462" t="s">
        <v>1069</v>
      </c>
      <c r="P462">
        <f>IFERROR(VALUE(SUBSTITUTE(SUBSTITUTE(SUBSTITUTE(Table1[[#This Row],[revenue]],"EUR",""),"$",""),".",",")),"")</f>
        <v>1805.82</v>
      </c>
      <c r="Q462" t="s">
        <v>58</v>
      </c>
      <c r="R462" t="str">
        <f>IF(OR(Table1[[#This Row],[currency]]="EUR",Table1[[#This Row],[currency]]="€"),"EUR",IF(OR(Table1[[#This Row],[currency]]="USD",Table1[[#This Row],[currency]]="$"),"USD","Unknown"))</f>
        <v>USD</v>
      </c>
      <c r="S462" t="s">
        <v>35</v>
      </c>
      <c r="T462" t="str">
        <f>IFERROR(_xlfn.XLOOKUP(Table1[[#This Row],[order_status]],Table8[Original],Table8[Clean],,0,1),"Unknown")</f>
        <v>Returned</v>
      </c>
      <c r="U462">
        <v>5</v>
      </c>
      <c r="V462">
        <f>IF(ISNUMBER(Table1[[#This Row],[delivery_days]]),Table1[[#This Row],[delivery_days]],IFERROR(_xlfn.XLOOKUP(Table1[[#This Row],[delivery_days]],Table57[Original],Table57[Clean],,0,1),"Unknown"))</f>
        <v>5</v>
      </c>
      <c r="W462" t="s">
        <v>24</v>
      </c>
    </row>
    <row r="463" spans="1:23" x14ac:dyDescent="0.3">
      <c r="A463">
        <v>1461</v>
      </c>
      <c r="B463" t="str">
        <f>IF(ISBLANK(Table1[[#This Row],[order_id]]),"",IF(LEFT(Table1[[#This Row],[order_id]],3)="ORD",Table1[[#This Row],[order_id]],"ORD-" &amp; Table1[[#This Row],[order_id]]))</f>
        <v>ORD-1461</v>
      </c>
      <c r="C463" t="s">
        <v>1070</v>
      </c>
      <c r="D463" s="1" t="str">
        <f>IFERROR(DATEVALUE(Table1[[#This Row],[order_date]]),"")</f>
        <v/>
      </c>
      <c r="E463" t="s">
        <v>1071</v>
      </c>
      <c r="F463" t="str">
        <f>IF(ISBLANK(Table1[[#This Row],[customer_name]]),"Unknown Customer",PROPER(SUBSTITUTE(Table1[[#This Row],[customer_name]],"Cust.","Customer")))</f>
        <v>Customer 461</v>
      </c>
      <c r="H463" t="str">
        <f>IFERROR(_xlfn.XLOOKUP(Table1[[#This Row],[region]],Mappings!$C$3:$C$8,Mappings!$D$3:$D$8,,0,1),"Unknown")</f>
        <v>Unknown</v>
      </c>
      <c r="I463" t="s">
        <v>27</v>
      </c>
      <c r="J463" t="str">
        <f>IFERROR(_xlfn.XLOOKUP(Table1[[#This Row],[sales_channel]],Table4[Original],Table4[Clean],,0,1),"Unknown")</f>
        <v>Online</v>
      </c>
      <c r="K463" t="s">
        <v>51</v>
      </c>
      <c r="L463" t="str">
        <f>IFERROR(_xlfn.XLOOKUP(Table1[[#This Row],[product]],Table3[Original],Table3[Product_clean],,0,1),"Unknown")</f>
        <v>Laptop</v>
      </c>
      <c r="M463" s="6" t="s">
        <v>83</v>
      </c>
      <c r="N463">
        <f>IF(ISNUMBER(Table1[[#This Row],[quantity]]),Table1[[#This Row],[quantity]],IFERROR(VLOOKUP(Table1[[#This Row],[quantity]],Table5[#All],2,FALSE),"Unknown"))</f>
        <v>2</v>
      </c>
      <c r="O463" t="s">
        <v>1072</v>
      </c>
      <c r="P463">
        <f>IFERROR(VALUE(SUBSTITUTE(SUBSTITUTE(SUBSTITUTE(Table1[[#This Row],[revenue]],"EUR",""),"$",""),".",",")),"")</f>
        <v>1599.05</v>
      </c>
      <c r="R463" t="str">
        <f>IF(OR(Table1[[#This Row],[currency]]="EUR",Table1[[#This Row],[currency]]="€"),"EUR",IF(OR(Table1[[#This Row],[currency]]="USD",Table1[[#This Row],[currency]]="$"),"USD","Unknown"))</f>
        <v>Unknown</v>
      </c>
      <c r="S463" t="s">
        <v>30</v>
      </c>
      <c r="T463" t="str">
        <f>IFERROR(_xlfn.XLOOKUP(Table1[[#This Row],[order_status]],Table8[Original],Table8[Clean],,0,1),"Unknown")</f>
        <v>Delivered</v>
      </c>
      <c r="U463">
        <v>5</v>
      </c>
      <c r="V463">
        <f>IF(ISNUMBER(Table1[[#This Row],[delivery_days]]),Table1[[#This Row],[delivery_days]],IFERROR(_xlfn.XLOOKUP(Table1[[#This Row],[delivery_days]],Table57[Original],Table57[Clean],,0,1),"Unknown"))</f>
        <v>5</v>
      </c>
      <c r="W463" t="s">
        <v>37</v>
      </c>
    </row>
    <row r="464" spans="1:23" x14ac:dyDescent="0.3">
      <c r="B464" t="str">
        <f>IF(ISBLANK(Table1[[#This Row],[order_id]]),"",IF(LEFT(Table1[[#This Row],[order_id]],3)="ORD",Table1[[#This Row],[order_id]],"ORD-" &amp; Table1[[#This Row],[order_id]]))</f>
        <v/>
      </c>
      <c r="C464" t="s">
        <v>1073</v>
      </c>
      <c r="D464" s="1">
        <f>IFERROR(DATEVALUE(Table1[[#This Row],[order_date]]),"")</f>
        <v>45477</v>
      </c>
      <c r="E464" t="s">
        <v>1074</v>
      </c>
      <c r="F464" t="str">
        <f>IF(ISBLANK(Table1[[#This Row],[customer_name]]),"Unknown Customer",PROPER(SUBSTITUTE(Table1[[#This Row],[customer_name]],"Cust.","Customer")))</f>
        <v>Customer 462</v>
      </c>
      <c r="G464" t="s">
        <v>54</v>
      </c>
      <c r="H464" t="str">
        <f>IFERROR(_xlfn.XLOOKUP(Table1[[#This Row],[region]],Mappings!$C$3:$C$8,Mappings!$D$3:$D$8,,0,1),"Unknown")</f>
        <v>USA</v>
      </c>
      <c r="I464" t="s">
        <v>14</v>
      </c>
      <c r="J464" t="str">
        <f>IFERROR(_xlfn.XLOOKUP(Table1[[#This Row],[sales_channel]],Table4[Original],Table4[Clean],,0,1),"Unknown")</f>
        <v>Online</v>
      </c>
      <c r="L464" t="str">
        <f>IFERROR(_xlfn.XLOOKUP(Table1[[#This Row],[product]],Table3[Original],Table3[Product_clean],,0,1),"Unknown")</f>
        <v>Unknown</v>
      </c>
      <c r="M464" s="6"/>
      <c r="N464" t="str">
        <f>IF(ISNUMBER(Table1[[#This Row],[quantity]]),Table1[[#This Row],[quantity]],IFERROR(VLOOKUP(Table1[[#This Row],[quantity]],Table5[#All],2,FALSE),"Unknown"))</f>
        <v>Unknown</v>
      </c>
      <c r="P464" t="str">
        <f>IFERROR(VALUE(SUBSTITUTE(SUBSTITUTE(SUBSTITUTE(Table1[[#This Row],[revenue]],"EUR",""),"$",""),".",",")),"")</f>
        <v/>
      </c>
      <c r="Q464" t="s">
        <v>58</v>
      </c>
      <c r="R464" t="str">
        <f>IF(OR(Table1[[#This Row],[currency]]="EUR",Table1[[#This Row],[currency]]="€"),"EUR",IF(OR(Table1[[#This Row],[currency]]="USD",Table1[[#This Row],[currency]]="$"),"USD","Unknown"))</f>
        <v>USD</v>
      </c>
      <c r="S464" t="s">
        <v>23</v>
      </c>
      <c r="T464" t="str">
        <f>IFERROR(_xlfn.XLOOKUP(Table1[[#This Row],[order_status]],Table8[Original],Table8[Clean],,0,1),"Unknown")</f>
        <v>Delivered</v>
      </c>
      <c r="V464" t="str">
        <f>IF(ISNUMBER(Table1[[#This Row],[delivery_days]]),Table1[[#This Row],[delivery_days]],IFERROR(_xlfn.XLOOKUP(Table1[[#This Row],[delivery_days]],Table57[Original],Table57[Clean],,0,1),"Unknown"))</f>
        <v>Unknown</v>
      </c>
    </row>
    <row r="465" spans="1:23" x14ac:dyDescent="0.3">
      <c r="A465">
        <v>1463</v>
      </c>
      <c r="B465" t="str">
        <f>IF(ISBLANK(Table1[[#This Row],[order_id]]),"",IF(LEFT(Table1[[#This Row],[order_id]],3)="ORD",Table1[[#This Row],[order_id]],"ORD-" &amp; Table1[[#This Row],[order_id]]))</f>
        <v>ORD-1463</v>
      </c>
      <c r="C465" t="s">
        <v>1075</v>
      </c>
      <c r="D465" s="1" t="str">
        <f>IFERROR(DATEVALUE(Table1[[#This Row],[order_date]]),"")</f>
        <v/>
      </c>
      <c r="E465" t="s">
        <v>1076</v>
      </c>
      <c r="F465" t="str">
        <f>IF(ISBLANK(Table1[[#This Row],[customer_name]]),"Unknown Customer",PROPER(SUBSTITUTE(Table1[[#This Row],[customer_name]],"Cust.","Customer")))</f>
        <v>Customer 463</v>
      </c>
      <c r="H465" t="str">
        <f>IFERROR(_xlfn.XLOOKUP(Table1[[#This Row],[region]],Mappings!$C$3:$C$8,Mappings!$D$3:$D$8,,0,1),"Unknown")</f>
        <v>Unknown</v>
      </c>
      <c r="I465" t="s">
        <v>68</v>
      </c>
      <c r="J465" t="str">
        <f>IFERROR(_xlfn.XLOOKUP(Table1[[#This Row],[sales_channel]],Table4[Original],Table4[Clean],,0,1),"Unknown")</f>
        <v>Online</v>
      </c>
      <c r="L465" t="str">
        <f>IFERROR(_xlfn.XLOOKUP(Table1[[#This Row],[product]],Table3[Original],Table3[Product_clean],,0,1),"Unknown")</f>
        <v>Unknown</v>
      </c>
      <c r="M465" s="6">
        <v>1</v>
      </c>
      <c r="N465">
        <f>IF(ISNUMBER(Table1[[#This Row],[quantity]]),Table1[[#This Row],[quantity]],IFERROR(VLOOKUP(Table1[[#This Row],[quantity]],Table5[#All],2,FALSE),"Unknown"))</f>
        <v>1</v>
      </c>
      <c r="O465">
        <v>1193.3900000000001</v>
      </c>
      <c r="P465">
        <f>IFERROR(VALUE(SUBSTITUTE(SUBSTITUTE(SUBSTITUTE(Table1[[#This Row],[revenue]],"EUR",""),"$",""),".",",")),"")</f>
        <v>1193.3900000000001</v>
      </c>
      <c r="Q465" t="s">
        <v>55</v>
      </c>
      <c r="R465" t="str">
        <f>IF(OR(Table1[[#This Row],[currency]]="EUR",Table1[[#This Row],[currency]]="€"),"EUR",IF(OR(Table1[[#This Row],[currency]]="USD",Table1[[#This Row],[currency]]="$"),"USD","Unknown"))</f>
        <v>EUR</v>
      </c>
      <c r="S465" t="s">
        <v>47</v>
      </c>
      <c r="T465" t="str">
        <f>IFERROR(_xlfn.XLOOKUP(Table1[[#This Row],[order_status]],Table8[Original],Table8[Clean],,0,1),"Unknown")</f>
        <v>Returned</v>
      </c>
      <c r="U465">
        <v>1</v>
      </c>
      <c r="V465">
        <f>IF(ISNUMBER(Table1[[#This Row],[delivery_days]]),Table1[[#This Row],[delivery_days]],IFERROR(_xlfn.XLOOKUP(Table1[[#This Row],[delivery_days]],Table57[Original],Table57[Clean],,0,1),"Unknown"))</f>
        <v>1</v>
      </c>
    </row>
    <row r="466" spans="1:23" x14ac:dyDescent="0.3">
      <c r="A466">
        <v>1464</v>
      </c>
      <c r="B466" t="str">
        <f>IF(ISBLANK(Table1[[#This Row],[order_id]]),"",IF(LEFT(Table1[[#This Row],[order_id]],3)="ORD",Table1[[#This Row],[order_id]],"ORD-" &amp; Table1[[#This Row],[order_id]]))</f>
        <v>ORD-1464</v>
      </c>
      <c r="C466" t="s">
        <v>1077</v>
      </c>
      <c r="D466" s="1" t="str">
        <f>IFERROR(DATEVALUE(Table1[[#This Row],[order_date]]),"")</f>
        <v/>
      </c>
      <c r="E466" t="s">
        <v>1078</v>
      </c>
      <c r="F466" t="str">
        <f>IF(ISBLANK(Table1[[#This Row],[customer_name]]),"Unknown Customer",PROPER(SUBSTITUTE(Table1[[#This Row],[customer_name]],"Cust.","Customer")))</f>
        <v>Customer 464</v>
      </c>
      <c r="G466" t="s">
        <v>26</v>
      </c>
      <c r="H466" t="str">
        <f>IFERROR(_xlfn.XLOOKUP(Table1[[#This Row],[region]],Mappings!$C$3:$C$8,Mappings!$D$3:$D$8,,0,1),"Unknown")</f>
        <v>Asia</v>
      </c>
      <c r="I466" t="s">
        <v>27</v>
      </c>
      <c r="J466" t="str">
        <f>IFERROR(_xlfn.XLOOKUP(Table1[[#This Row],[sales_channel]],Table4[Original],Table4[Clean],,0,1),"Unknown")</f>
        <v>Online</v>
      </c>
      <c r="K466" t="s">
        <v>28</v>
      </c>
      <c r="L466" t="str">
        <f>IFERROR(_xlfn.XLOOKUP(Table1[[#This Row],[product]],Table3[Original],Table3[Product_clean],,0,1),"Unknown")</f>
        <v>Laptop</v>
      </c>
      <c r="M466" s="6">
        <v>3</v>
      </c>
      <c r="N466">
        <f>IF(ISNUMBER(Table1[[#This Row],[quantity]]),Table1[[#This Row],[quantity]],IFERROR(VLOOKUP(Table1[[#This Row],[quantity]],Table5[#All],2,FALSE),"Unknown"))</f>
        <v>3</v>
      </c>
      <c r="O466" t="s">
        <v>1079</v>
      </c>
      <c r="P466">
        <f>IFERROR(VALUE(SUBSTITUTE(SUBSTITUTE(SUBSTITUTE(Table1[[#This Row],[revenue]],"EUR",""),"$",""),".",",")),"")</f>
        <v>2310.23</v>
      </c>
      <c r="Q466" t="s">
        <v>55</v>
      </c>
      <c r="R466" t="str">
        <f>IF(OR(Table1[[#This Row],[currency]]="EUR",Table1[[#This Row],[currency]]="€"),"EUR",IF(OR(Table1[[#This Row],[currency]]="USD",Table1[[#This Row],[currency]]="$"),"USD","Unknown"))</f>
        <v>EUR</v>
      </c>
      <c r="S466" t="s">
        <v>18</v>
      </c>
      <c r="T466" t="str">
        <f>IFERROR(_xlfn.XLOOKUP(Table1[[#This Row],[order_status]],Table8[Original],Table8[Clean],,0,1),"Unknown")</f>
        <v>Pending</v>
      </c>
      <c r="U466">
        <v>3</v>
      </c>
      <c r="V466">
        <f>IF(ISNUMBER(Table1[[#This Row],[delivery_days]]),Table1[[#This Row],[delivery_days]],IFERROR(_xlfn.XLOOKUP(Table1[[#This Row],[delivery_days]],Table57[Original],Table57[Clean],,0,1),"Unknown"))</f>
        <v>3</v>
      </c>
    </row>
    <row r="467" spans="1:23" x14ac:dyDescent="0.3">
      <c r="A467">
        <v>1465</v>
      </c>
      <c r="B467" t="str">
        <f>IF(ISBLANK(Table1[[#This Row],[order_id]]),"",IF(LEFT(Table1[[#This Row],[order_id]],3)="ORD",Table1[[#This Row],[order_id]],"ORD-" &amp; Table1[[#This Row],[order_id]]))</f>
        <v>ORD-1465</v>
      </c>
      <c r="C467" t="s">
        <v>1080</v>
      </c>
      <c r="D467" s="1">
        <f>IFERROR(DATEVALUE(Table1[[#This Row],[order_date]]),"")</f>
        <v>45547</v>
      </c>
      <c r="E467" t="s">
        <v>1081</v>
      </c>
      <c r="F467" t="str">
        <f>IF(ISBLANK(Table1[[#This Row],[customer_name]]),"Unknown Customer",PROPER(SUBSTITUTE(Table1[[#This Row],[customer_name]],"Cust.","Customer")))</f>
        <v>Customer 465</v>
      </c>
      <c r="G467" t="s">
        <v>73</v>
      </c>
      <c r="H467" t="str">
        <f>IFERROR(_xlfn.XLOOKUP(Table1[[#This Row],[region]],Mappings!$C$3:$C$8,Mappings!$D$3:$D$8,,0,1),"Unknown")</f>
        <v>Europe</v>
      </c>
      <c r="I467" t="s">
        <v>68</v>
      </c>
      <c r="J467" t="str">
        <f>IFERROR(_xlfn.XLOOKUP(Table1[[#This Row],[sales_channel]],Table4[Original],Table4[Clean],,0,1),"Unknown")</f>
        <v>Online</v>
      </c>
      <c r="K467" t="s">
        <v>33</v>
      </c>
      <c r="L467" t="str">
        <f>IFERROR(_xlfn.XLOOKUP(Table1[[#This Row],[product]],Table3[Original],Table3[Product_clean],,0,1),"Unknown")</f>
        <v>Tablet</v>
      </c>
      <c r="M467" s="6"/>
      <c r="N467" t="str">
        <f>IF(ISNUMBER(Table1[[#This Row],[quantity]]),Table1[[#This Row],[quantity]],IFERROR(VLOOKUP(Table1[[#This Row],[quantity]],Table5[#All],2,FALSE),"Unknown"))</f>
        <v>Unknown</v>
      </c>
      <c r="O467" t="s">
        <v>1082</v>
      </c>
      <c r="P467">
        <f>IFERROR(VALUE(SUBSTITUTE(SUBSTITUTE(SUBSTITUTE(Table1[[#This Row],[revenue]],"EUR",""),"$",""),".",",")),"")</f>
        <v>397.07</v>
      </c>
      <c r="Q467" t="s">
        <v>17</v>
      </c>
      <c r="R467" t="str">
        <f>IF(OR(Table1[[#This Row],[currency]]="EUR",Table1[[#This Row],[currency]]="€"),"EUR",IF(OR(Table1[[#This Row],[currency]]="USD",Table1[[#This Row],[currency]]="$"),"USD","Unknown"))</f>
        <v>EUR</v>
      </c>
      <c r="S467" t="s">
        <v>23</v>
      </c>
      <c r="T467" t="str">
        <f>IFERROR(_xlfn.XLOOKUP(Table1[[#This Row],[order_status]],Table8[Original],Table8[Clean],,0,1),"Unknown")</f>
        <v>Delivered</v>
      </c>
      <c r="U467" t="s">
        <v>36</v>
      </c>
      <c r="V467">
        <f>IF(ISNUMBER(Table1[[#This Row],[delivery_days]]),Table1[[#This Row],[delivery_days]],IFERROR(_xlfn.XLOOKUP(Table1[[#This Row],[delivery_days]],Table57[Original],Table57[Clean],,0,1),"Unknown"))</f>
        <v>5</v>
      </c>
      <c r="W467" t="s">
        <v>24</v>
      </c>
    </row>
    <row r="468" spans="1:23" x14ac:dyDescent="0.3">
      <c r="B468" t="str">
        <f>IF(ISBLANK(Table1[[#This Row],[order_id]]),"",IF(LEFT(Table1[[#This Row],[order_id]],3)="ORD",Table1[[#This Row],[order_id]],"ORD-" &amp; Table1[[#This Row],[order_id]]))</f>
        <v/>
      </c>
      <c r="C468" t="s">
        <v>1083</v>
      </c>
      <c r="D468" s="1">
        <f>IFERROR(DATEVALUE(Table1[[#This Row],[order_date]]),"")</f>
        <v>45514</v>
      </c>
      <c r="E468" t="s">
        <v>1084</v>
      </c>
      <c r="F468" t="str">
        <f>IF(ISBLANK(Table1[[#This Row],[customer_name]]),"Unknown Customer",PROPER(SUBSTITUTE(Table1[[#This Row],[customer_name]],"Cust.","Customer")))</f>
        <v>Customer 466</v>
      </c>
      <c r="G468" t="s">
        <v>54</v>
      </c>
      <c r="H468" t="str">
        <f>IFERROR(_xlfn.XLOOKUP(Table1[[#This Row],[region]],Mappings!$C$3:$C$8,Mappings!$D$3:$D$8,,0,1),"Unknown")</f>
        <v>USA</v>
      </c>
      <c r="I468" t="s">
        <v>14</v>
      </c>
      <c r="J468" t="str">
        <f>IFERROR(_xlfn.XLOOKUP(Table1[[#This Row],[sales_channel]],Table4[Original],Table4[Clean],,0,1),"Unknown")</f>
        <v>Online</v>
      </c>
      <c r="K468" t="s">
        <v>102</v>
      </c>
      <c r="L468" t="str">
        <f>IFERROR(_xlfn.XLOOKUP(Table1[[#This Row],[product]],Table3[Original],Table3[Product_clean],,0,1),"Unknown")</f>
        <v>Phone</v>
      </c>
      <c r="M468" s="6"/>
      <c r="N468" t="str">
        <f>IF(ISNUMBER(Table1[[#This Row],[quantity]]),Table1[[#This Row],[quantity]],IFERROR(VLOOKUP(Table1[[#This Row],[quantity]],Table5[#All],2,FALSE),"Unknown"))</f>
        <v>Unknown</v>
      </c>
      <c r="O468" t="s">
        <v>1085</v>
      </c>
      <c r="P468">
        <f>IFERROR(VALUE(SUBSTITUTE(SUBSTITUTE(SUBSTITUTE(Table1[[#This Row],[revenue]],"EUR",""),"$",""),".",",")),"")</f>
        <v>989.53</v>
      </c>
      <c r="Q468" t="s">
        <v>55</v>
      </c>
      <c r="R468" t="str">
        <f>IF(OR(Table1[[#This Row],[currency]]="EUR",Table1[[#This Row],[currency]]="€"),"EUR",IF(OR(Table1[[#This Row],[currency]]="USD",Table1[[#This Row],[currency]]="$"),"USD","Unknown"))</f>
        <v>EUR</v>
      </c>
      <c r="S468" t="s">
        <v>18</v>
      </c>
      <c r="T468" t="str">
        <f>IFERROR(_xlfn.XLOOKUP(Table1[[#This Row],[order_status]],Table8[Original],Table8[Clean],,0,1),"Unknown")</f>
        <v>Pending</v>
      </c>
      <c r="U468">
        <v>5</v>
      </c>
      <c r="V468">
        <f>IF(ISNUMBER(Table1[[#This Row],[delivery_days]]),Table1[[#This Row],[delivery_days]],IFERROR(_xlfn.XLOOKUP(Table1[[#This Row],[delivery_days]],Table57[Original],Table57[Clean],,0,1),"Unknown"))</f>
        <v>5</v>
      </c>
    </row>
    <row r="469" spans="1:23" x14ac:dyDescent="0.3">
      <c r="A469">
        <v>1467</v>
      </c>
      <c r="B469" t="str">
        <f>IF(ISBLANK(Table1[[#This Row],[order_id]]),"",IF(LEFT(Table1[[#This Row],[order_id]],3)="ORD",Table1[[#This Row],[order_id]],"ORD-" &amp; Table1[[#This Row],[order_id]]))</f>
        <v>ORD-1467</v>
      </c>
      <c r="D469" s="1" t="str">
        <f>IFERROR(DATEVALUE(Table1[[#This Row],[order_date]]),"")</f>
        <v/>
      </c>
      <c r="E469" t="s">
        <v>1086</v>
      </c>
      <c r="F469" t="str">
        <f>IF(ISBLANK(Table1[[#This Row],[customer_name]]),"Unknown Customer",PROPER(SUBSTITUTE(Table1[[#This Row],[customer_name]],"Cust.","Customer")))</f>
        <v>Customer 467</v>
      </c>
      <c r="G469" t="s">
        <v>73</v>
      </c>
      <c r="H469" t="str">
        <f>IFERROR(_xlfn.XLOOKUP(Table1[[#This Row],[region]],Mappings!$C$3:$C$8,Mappings!$D$3:$D$8,,0,1),"Unknown")</f>
        <v>Europe</v>
      </c>
      <c r="I469" t="s">
        <v>78</v>
      </c>
      <c r="J469" t="str">
        <f>IFERROR(_xlfn.XLOOKUP(Table1[[#This Row],[sales_channel]],Table4[Original],Table4[Clean],,0,1),"Unknown")</f>
        <v>Mobile</v>
      </c>
      <c r="K469" t="s">
        <v>41</v>
      </c>
      <c r="L469" t="str">
        <f>IFERROR(_xlfn.XLOOKUP(Table1[[#This Row],[product]],Table3[Original],Table3[Product_clean],,0,1),"Unknown")</f>
        <v>Phone</v>
      </c>
      <c r="M469" s="6">
        <v>2</v>
      </c>
      <c r="N469">
        <f>IF(ISNUMBER(Table1[[#This Row],[quantity]]),Table1[[#This Row],[quantity]],IFERROR(VLOOKUP(Table1[[#This Row],[quantity]],Table5[#All],2,FALSE),"Unknown"))</f>
        <v>2</v>
      </c>
      <c r="O469">
        <v>135.53</v>
      </c>
      <c r="P469">
        <f>IFERROR(VALUE(SUBSTITUTE(SUBSTITUTE(SUBSTITUTE(Table1[[#This Row],[revenue]],"EUR",""),"$",""),".",",")),"")</f>
        <v>135.53</v>
      </c>
      <c r="R469" t="str">
        <f>IF(OR(Table1[[#This Row],[currency]]="EUR",Table1[[#This Row],[currency]]="€"),"EUR",IF(OR(Table1[[#This Row],[currency]]="USD",Table1[[#This Row],[currency]]="$"),"USD","Unknown"))</f>
        <v>Unknown</v>
      </c>
      <c r="S469" t="s">
        <v>18</v>
      </c>
      <c r="T469" t="str">
        <f>IFERROR(_xlfn.XLOOKUP(Table1[[#This Row],[order_status]],Table8[Original],Table8[Clean],,0,1),"Unknown")</f>
        <v>Pending</v>
      </c>
      <c r="V469" t="str">
        <f>IF(ISNUMBER(Table1[[#This Row],[delivery_days]]),Table1[[#This Row],[delivery_days]],IFERROR(_xlfn.XLOOKUP(Table1[[#This Row],[delivery_days]],Table57[Original],Table57[Clean],,0,1),"Unknown"))</f>
        <v>Unknown</v>
      </c>
    </row>
    <row r="470" spans="1:23" x14ac:dyDescent="0.3">
      <c r="A470">
        <v>1468</v>
      </c>
      <c r="B470" t="str">
        <f>IF(ISBLANK(Table1[[#This Row],[order_id]]),"",IF(LEFT(Table1[[#This Row],[order_id]],3)="ORD",Table1[[#This Row],[order_id]],"ORD-" &amp; Table1[[#This Row],[order_id]]))</f>
        <v>ORD-1468</v>
      </c>
      <c r="C470" t="s">
        <v>540</v>
      </c>
      <c r="D470" s="1">
        <f>IFERROR(DATEVALUE(Table1[[#This Row],[order_date]]),"")</f>
        <v>45607</v>
      </c>
      <c r="F470" t="str">
        <f>IF(ISBLANK(Table1[[#This Row],[customer_name]]),"Unknown Customer",PROPER(SUBSTITUTE(Table1[[#This Row],[customer_name]],"Cust.","Customer")))</f>
        <v>Unknown Customer</v>
      </c>
      <c r="G470" t="s">
        <v>45</v>
      </c>
      <c r="H470" t="str">
        <f>IFERROR(_xlfn.XLOOKUP(Table1[[#This Row],[region]],Mappings!$C$3:$C$8,Mappings!$D$3:$D$8,,0,1),"Unknown")</f>
        <v>USA</v>
      </c>
      <c r="I470" t="s">
        <v>27</v>
      </c>
      <c r="J470" t="str">
        <f>IFERROR(_xlfn.XLOOKUP(Table1[[#This Row],[sales_channel]],Table4[Original],Table4[Clean],,0,1),"Unknown")</f>
        <v>Online</v>
      </c>
      <c r="K470" t="s">
        <v>51</v>
      </c>
      <c r="L470" t="str">
        <f>IFERROR(_xlfn.XLOOKUP(Table1[[#This Row],[product]],Table3[Original],Table3[Product_clean],,0,1),"Unknown")</f>
        <v>Laptop</v>
      </c>
      <c r="M470" s="6" t="s">
        <v>83</v>
      </c>
      <c r="N470">
        <f>IF(ISNUMBER(Table1[[#This Row],[quantity]]),Table1[[#This Row],[quantity]],IFERROR(VLOOKUP(Table1[[#This Row],[quantity]],Table5[#All],2,FALSE),"Unknown"))</f>
        <v>2</v>
      </c>
      <c r="O470" t="s">
        <v>1087</v>
      </c>
      <c r="P470">
        <f>IFERROR(VALUE(SUBSTITUTE(SUBSTITUTE(SUBSTITUTE(Table1[[#This Row],[revenue]],"EUR",""),"$",""),".",",")),"")</f>
        <v>1099.0899999999999</v>
      </c>
      <c r="Q470" t="s">
        <v>17</v>
      </c>
      <c r="R470" t="str">
        <f>IF(OR(Table1[[#This Row],[currency]]="EUR",Table1[[#This Row],[currency]]="€"),"EUR",IF(OR(Table1[[#This Row],[currency]]="USD",Table1[[#This Row],[currency]]="$"),"USD","Unknown"))</f>
        <v>EUR</v>
      </c>
      <c r="S470" t="s">
        <v>47</v>
      </c>
      <c r="T470" t="str">
        <f>IFERROR(_xlfn.XLOOKUP(Table1[[#This Row],[order_status]],Table8[Original],Table8[Clean],,0,1),"Unknown")</f>
        <v>Returned</v>
      </c>
      <c r="U470">
        <v>3</v>
      </c>
      <c r="V470">
        <f>IF(ISNUMBER(Table1[[#This Row],[delivery_days]]),Table1[[#This Row],[delivery_days]],IFERROR(_xlfn.XLOOKUP(Table1[[#This Row],[delivery_days]],Table57[Original],Table57[Clean],,0,1),"Unknown"))</f>
        <v>3</v>
      </c>
    </row>
    <row r="471" spans="1:23" x14ac:dyDescent="0.3">
      <c r="A471">
        <v>1469</v>
      </c>
      <c r="B471" t="str">
        <f>IF(ISBLANK(Table1[[#This Row],[order_id]]),"",IF(LEFT(Table1[[#This Row],[order_id]],3)="ORD",Table1[[#This Row],[order_id]],"ORD-" &amp; Table1[[#This Row],[order_id]]))</f>
        <v>ORD-1469</v>
      </c>
      <c r="C471" t="s">
        <v>917</v>
      </c>
      <c r="D471" s="1" t="str">
        <f>IFERROR(DATEVALUE(Table1[[#This Row],[order_date]]),"")</f>
        <v/>
      </c>
      <c r="E471" t="s">
        <v>1088</v>
      </c>
      <c r="F471" t="str">
        <f>IF(ISBLANK(Table1[[#This Row],[customer_name]]),"Unknown Customer",PROPER(SUBSTITUTE(Table1[[#This Row],[customer_name]],"Cust.","Customer")))</f>
        <v>Customer 469</v>
      </c>
      <c r="G471" t="s">
        <v>32</v>
      </c>
      <c r="H471" t="str">
        <f>IFERROR(_xlfn.XLOOKUP(Table1[[#This Row],[region]],Mappings!$C$3:$C$8,Mappings!$D$3:$D$8,,0,1),"Unknown")</f>
        <v>Europe</v>
      </c>
      <c r="I471" t="s">
        <v>27</v>
      </c>
      <c r="J471" t="str">
        <f>IFERROR(_xlfn.XLOOKUP(Table1[[#This Row],[sales_channel]],Table4[Original],Table4[Clean],,0,1),"Unknown")</f>
        <v>Online</v>
      </c>
      <c r="K471" t="s">
        <v>15</v>
      </c>
      <c r="L471" t="str">
        <f>IFERROR(_xlfn.XLOOKUP(Table1[[#This Row],[product]],Table3[Original],Table3[Product_clean],,0,1),"Unknown")</f>
        <v>Tablet</v>
      </c>
      <c r="M471" s="6">
        <v>3</v>
      </c>
      <c r="N471">
        <f>IF(ISNUMBER(Table1[[#This Row],[quantity]]),Table1[[#This Row],[quantity]],IFERROR(VLOOKUP(Table1[[#This Row],[quantity]],Table5[#All],2,FALSE),"Unknown"))</f>
        <v>3</v>
      </c>
      <c r="O471" t="s">
        <v>1089</v>
      </c>
      <c r="P471">
        <f>IFERROR(VALUE(SUBSTITUTE(SUBSTITUTE(SUBSTITUTE(Table1[[#This Row],[revenue]],"EUR",""),"$",""),".",",")),"")</f>
        <v>733.5</v>
      </c>
      <c r="Q471" t="s">
        <v>55</v>
      </c>
      <c r="R471" t="str">
        <f>IF(OR(Table1[[#This Row],[currency]]="EUR",Table1[[#This Row],[currency]]="€"),"EUR",IF(OR(Table1[[#This Row],[currency]]="USD",Table1[[#This Row],[currency]]="$"),"USD","Unknown"))</f>
        <v>EUR</v>
      </c>
      <c r="S471" t="s">
        <v>47</v>
      </c>
      <c r="T471" t="str">
        <f>IFERROR(_xlfn.XLOOKUP(Table1[[#This Row],[order_status]],Table8[Original],Table8[Clean],,0,1),"Unknown")</f>
        <v>Returned</v>
      </c>
      <c r="U471">
        <v>5</v>
      </c>
      <c r="V471">
        <f>IF(ISNUMBER(Table1[[#This Row],[delivery_days]]),Table1[[#This Row],[delivery_days]],IFERROR(_xlfn.XLOOKUP(Table1[[#This Row],[delivery_days]],Table57[Original],Table57[Clean],,0,1),"Unknown"))</f>
        <v>5</v>
      </c>
    </row>
    <row r="472" spans="1:23" x14ac:dyDescent="0.3">
      <c r="A472" t="s">
        <v>1090</v>
      </c>
      <c r="B472" t="str">
        <f>IF(ISBLANK(Table1[[#This Row],[order_id]]),"",IF(LEFT(Table1[[#This Row],[order_id]],3)="ORD",Table1[[#This Row],[order_id]],"ORD-" &amp; Table1[[#This Row],[order_id]]))</f>
        <v>ORD-1470</v>
      </c>
      <c r="D472" s="1" t="str">
        <f>IFERROR(DATEVALUE(Table1[[#This Row],[order_date]]),"")</f>
        <v/>
      </c>
      <c r="E472" t="s">
        <v>1091</v>
      </c>
      <c r="F472" t="str">
        <f>IF(ISBLANK(Table1[[#This Row],[customer_name]]),"Unknown Customer",PROPER(SUBSTITUTE(Table1[[#This Row],[customer_name]],"Cust.","Customer")))</f>
        <v>Customer 470</v>
      </c>
      <c r="G472" t="s">
        <v>26</v>
      </c>
      <c r="H472" t="str">
        <f>IFERROR(_xlfn.XLOOKUP(Table1[[#This Row],[region]],Mappings!$C$3:$C$8,Mappings!$D$3:$D$8,,0,1),"Unknown")</f>
        <v>Asia</v>
      </c>
      <c r="I472" t="s">
        <v>50</v>
      </c>
      <c r="J472" t="str">
        <f>IFERROR(_xlfn.XLOOKUP(Table1[[#This Row],[sales_channel]],Table4[Original],Table4[Clean],,0,1),"Unknown")</f>
        <v>Mobile</v>
      </c>
      <c r="K472" t="s">
        <v>33</v>
      </c>
      <c r="L472" t="str">
        <f>IFERROR(_xlfn.XLOOKUP(Table1[[#This Row],[product]],Table3[Original],Table3[Product_clean],,0,1),"Unknown")</f>
        <v>Tablet</v>
      </c>
      <c r="M472" s="6"/>
      <c r="N472" t="str">
        <f>IF(ISNUMBER(Table1[[#This Row],[quantity]]),Table1[[#This Row],[quantity]],IFERROR(VLOOKUP(Table1[[#This Row],[quantity]],Table5[#All],2,FALSE),"Unknown"))</f>
        <v>Unknown</v>
      </c>
      <c r="O472" t="s">
        <v>1092</v>
      </c>
      <c r="P472">
        <f>IFERROR(VALUE(SUBSTITUTE(SUBSTITUTE(SUBSTITUTE(Table1[[#This Row],[revenue]],"EUR",""),"$",""),".",",")),"")</f>
        <v>1452.24</v>
      </c>
      <c r="Q472" t="s">
        <v>58</v>
      </c>
      <c r="R472" t="str">
        <f>IF(OR(Table1[[#This Row],[currency]]="EUR",Table1[[#This Row],[currency]]="€"),"EUR",IF(OR(Table1[[#This Row],[currency]]="USD",Table1[[#This Row],[currency]]="$"),"USD","Unknown"))</f>
        <v>USD</v>
      </c>
      <c r="S472" t="s">
        <v>18</v>
      </c>
      <c r="T472" t="str">
        <f>IFERROR(_xlfn.XLOOKUP(Table1[[#This Row],[order_status]],Table8[Original],Table8[Clean],,0,1),"Unknown")</f>
        <v>Pending</v>
      </c>
      <c r="U472">
        <v>1</v>
      </c>
      <c r="V472">
        <f>IF(ISNUMBER(Table1[[#This Row],[delivery_days]]),Table1[[#This Row],[delivery_days]],IFERROR(_xlfn.XLOOKUP(Table1[[#This Row],[delivery_days]],Table57[Original],Table57[Clean],,0,1),"Unknown"))</f>
        <v>1</v>
      </c>
    </row>
    <row r="473" spans="1:23" x14ac:dyDescent="0.3">
      <c r="A473" t="s">
        <v>1093</v>
      </c>
      <c r="B473" t="str">
        <f>IF(ISBLANK(Table1[[#This Row],[order_id]]),"",IF(LEFT(Table1[[#This Row],[order_id]],3)="ORD",Table1[[#This Row],[order_id]],"ORD-" &amp; Table1[[#This Row],[order_id]]))</f>
        <v>ORD-1471</v>
      </c>
      <c r="C473" t="s">
        <v>1094</v>
      </c>
      <c r="D473" s="1">
        <f>IFERROR(DATEVALUE(Table1[[#This Row],[order_date]]),"")</f>
        <v>45710</v>
      </c>
      <c r="E473" t="s">
        <v>1095</v>
      </c>
      <c r="F473" t="str">
        <f>IF(ISBLANK(Table1[[#This Row],[customer_name]]),"Unknown Customer",PROPER(SUBSTITUTE(Table1[[#This Row],[customer_name]],"Cust.","Customer")))</f>
        <v>Customer 471</v>
      </c>
      <c r="G473" t="s">
        <v>45</v>
      </c>
      <c r="H473" t="str">
        <f>IFERROR(_xlfn.XLOOKUP(Table1[[#This Row],[region]],Mappings!$C$3:$C$8,Mappings!$D$3:$D$8,,0,1),"Unknown")</f>
        <v>USA</v>
      </c>
      <c r="I473" t="s">
        <v>78</v>
      </c>
      <c r="J473" t="str">
        <f>IFERROR(_xlfn.XLOOKUP(Table1[[#This Row],[sales_channel]],Table4[Original],Table4[Clean],,0,1),"Unknown")</f>
        <v>Mobile</v>
      </c>
      <c r="K473" t="s">
        <v>41</v>
      </c>
      <c r="L473" t="str">
        <f>IFERROR(_xlfn.XLOOKUP(Table1[[#This Row],[product]],Table3[Original],Table3[Product_clean],,0,1),"Unknown")</f>
        <v>Phone</v>
      </c>
      <c r="M473" s="6"/>
      <c r="N473" t="str">
        <f>IF(ISNUMBER(Table1[[#This Row],[quantity]]),Table1[[#This Row],[quantity]],IFERROR(VLOOKUP(Table1[[#This Row],[quantity]],Table5[#All],2,FALSE),"Unknown"))</f>
        <v>Unknown</v>
      </c>
      <c r="O473">
        <v>2157.11</v>
      </c>
      <c r="P473">
        <f>IFERROR(VALUE(SUBSTITUTE(SUBSTITUTE(SUBSTITUTE(Table1[[#This Row],[revenue]],"EUR",""),"$",""),".",",")),"")</f>
        <v>2157.11</v>
      </c>
      <c r="Q473" t="s">
        <v>22</v>
      </c>
      <c r="R473" t="str">
        <f>IF(OR(Table1[[#This Row],[currency]]="EUR",Table1[[#This Row],[currency]]="€"),"EUR",IF(OR(Table1[[#This Row],[currency]]="USD",Table1[[#This Row],[currency]]="$"),"USD","Unknown"))</f>
        <v>USD</v>
      </c>
      <c r="S473" t="s">
        <v>23</v>
      </c>
      <c r="T473" t="str">
        <f>IFERROR(_xlfn.XLOOKUP(Table1[[#This Row],[order_status]],Table8[Original],Table8[Clean],,0,1),"Unknown")</f>
        <v>Delivered</v>
      </c>
      <c r="U473" t="s">
        <v>36</v>
      </c>
      <c r="V473">
        <f>IF(ISNUMBER(Table1[[#This Row],[delivery_days]]),Table1[[#This Row],[delivery_days]],IFERROR(_xlfn.XLOOKUP(Table1[[#This Row],[delivery_days]],Table57[Original],Table57[Clean],,0,1),"Unknown"))</f>
        <v>5</v>
      </c>
      <c r="W473" t="s">
        <v>37</v>
      </c>
    </row>
    <row r="474" spans="1:23" x14ac:dyDescent="0.3">
      <c r="A474" t="s">
        <v>1096</v>
      </c>
      <c r="B474" t="str">
        <f>IF(ISBLANK(Table1[[#This Row],[order_id]]),"",IF(LEFT(Table1[[#This Row],[order_id]],3)="ORD",Table1[[#This Row],[order_id]],"ORD-" &amp; Table1[[#This Row],[order_id]]))</f>
        <v>ORD-1472</v>
      </c>
      <c r="C474" t="s">
        <v>1097</v>
      </c>
      <c r="D474" s="1">
        <f>IFERROR(DATEVALUE(Table1[[#This Row],[order_date]]),"")</f>
        <v>45572</v>
      </c>
      <c r="E474" t="s">
        <v>1098</v>
      </c>
      <c r="F474" t="str">
        <f>IF(ISBLANK(Table1[[#This Row],[customer_name]]),"Unknown Customer",PROPER(SUBSTITUTE(Table1[[#This Row],[customer_name]],"Cust.","Customer")))</f>
        <v>Customer 472</v>
      </c>
      <c r="G474" t="s">
        <v>54</v>
      </c>
      <c r="H474" t="str">
        <f>IFERROR(_xlfn.XLOOKUP(Table1[[#This Row],[region]],Mappings!$C$3:$C$8,Mappings!$D$3:$D$8,,0,1),"Unknown")</f>
        <v>USA</v>
      </c>
      <c r="J474" t="str">
        <f>IFERROR(_xlfn.XLOOKUP(Table1[[#This Row],[sales_channel]],Table4[Original],Table4[Clean],,0,1),"Unknown")</f>
        <v>Unknown</v>
      </c>
      <c r="K474" t="s">
        <v>33</v>
      </c>
      <c r="L474" t="str">
        <f>IFERROR(_xlfn.XLOOKUP(Table1[[#This Row],[product]],Table3[Original],Table3[Product_clean],,0,1),"Unknown")</f>
        <v>Tablet</v>
      </c>
      <c r="M474" s="6" t="s">
        <v>83</v>
      </c>
      <c r="N474">
        <f>IF(ISNUMBER(Table1[[#This Row],[quantity]]),Table1[[#This Row],[quantity]],IFERROR(VLOOKUP(Table1[[#This Row],[quantity]],Table5[#All],2,FALSE),"Unknown"))</f>
        <v>2</v>
      </c>
      <c r="P474" t="str">
        <f>IFERROR(VALUE(SUBSTITUTE(SUBSTITUTE(SUBSTITUTE(Table1[[#This Row],[revenue]],"EUR",""),"$",""),".",",")),"")</f>
        <v/>
      </c>
      <c r="Q474" t="s">
        <v>22</v>
      </c>
      <c r="R474" t="str">
        <f>IF(OR(Table1[[#This Row],[currency]]="EUR",Table1[[#This Row],[currency]]="€"),"EUR",IF(OR(Table1[[#This Row],[currency]]="USD",Table1[[#This Row],[currency]]="$"),"USD","Unknown"))</f>
        <v>USD</v>
      </c>
      <c r="S474" t="s">
        <v>18</v>
      </c>
      <c r="T474" t="str">
        <f>IFERROR(_xlfn.XLOOKUP(Table1[[#This Row],[order_status]],Table8[Original],Table8[Clean],,0,1),"Unknown")</f>
        <v>Pending</v>
      </c>
      <c r="U474">
        <v>3</v>
      </c>
      <c r="V474">
        <f>IF(ISNUMBER(Table1[[#This Row],[delivery_days]]),Table1[[#This Row],[delivery_days]],IFERROR(_xlfn.XLOOKUP(Table1[[#This Row],[delivery_days]],Table57[Original],Table57[Clean],,0,1),"Unknown"))</f>
        <v>3</v>
      </c>
      <c r="W474" t="s">
        <v>37</v>
      </c>
    </row>
    <row r="475" spans="1:23" x14ac:dyDescent="0.3">
      <c r="B475" t="str">
        <f>IF(ISBLANK(Table1[[#This Row],[order_id]]),"",IF(LEFT(Table1[[#This Row],[order_id]],3)="ORD",Table1[[#This Row],[order_id]],"ORD-" &amp; Table1[[#This Row],[order_id]]))</f>
        <v/>
      </c>
      <c r="D475" s="1" t="str">
        <f>IFERROR(DATEVALUE(Table1[[#This Row],[order_date]]),"")</f>
        <v/>
      </c>
      <c r="E475" t="s">
        <v>1099</v>
      </c>
      <c r="F475" t="str">
        <f>IF(ISBLANK(Table1[[#This Row],[customer_name]]),"Unknown Customer",PROPER(SUBSTITUTE(Table1[[#This Row],[customer_name]],"Cust.","Customer")))</f>
        <v>Customer 473</v>
      </c>
      <c r="G475" t="s">
        <v>45</v>
      </c>
      <c r="H475" t="str">
        <f>IFERROR(_xlfn.XLOOKUP(Table1[[#This Row],[region]],Mappings!$C$3:$C$8,Mappings!$D$3:$D$8,,0,1),"Unknown")</f>
        <v>USA</v>
      </c>
      <c r="I475" t="s">
        <v>68</v>
      </c>
      <c r="J475" t="str">
        <f>IFERROR(_xlfn.XLOOKUP(Table1[[#This Row],[sales_channel]],Table4[Original],Table4[Clean],,0,1),"Unknown")</f>
        <v>Online</v>
      </c>
      <c r="K475" t="s">
        <v>41</v>
      </c>
      <c r="L475" t="str">
        <f>IFERROR(_xlfn.XLOOKUP(Table1[[#This Row],[product]],Table3[Original],Table3[Product_clean],,0,1),"Unknown")</f>
        <v>Phone</v>
      </c>
      <c r="M475" s="6">
        <v>3</v>
      </c>
      <c r="N475">
        <f>IF(ISNUMBER(Table1[[#This Row],[quantity]]),Table1[[#This Row],[quantity]],IFERROR(VLOOKUP(Table1[[#This Row],[quantity]],Table5[#All],2,FALSE),"Unknown"))</f>
        <v>3</v>
      </c>
      <c r="O475">
        <v>2004.71</v>
      </c>
      <c r="P475">
        <f>IFERROR(VALUE(SUBSTITUTE(SUBSTITUTE(SUBSTITUTE(Table1[[#This Row],[revenue]],"EUR",""),"$",""),".",",")),"")</f>
        <v>2004.71</v>
      </c>
      <c r="R475" t="str">
        <f>IF(OR(Table1[[#This Row],[currency]]="EUR",Table1[[#This Row],[currency]]="€"),"EUR",IF(OR(Table1[[#This Row],[currency]]="USD",Table1[[#This Row],[currency]]="$"),"USD","Unknown"))</f>
        <v>Unknown</v>
      </c>
      <c r="S475" t="s">
        <v>30</v>
      </c>
      <c r="T475" t="str">
        <f>IFERROR(_xlfn.XLOOKUP(Table1[[#This Row],[order_status]],Table8[Original],Table8[Clean],,0,1),"Unknown")</f>
        <v>Delivered</v>
      </c>
      <c r="U475">
        <v>5</v>
      </c>
      <c r="V475">
        <f>IF(ISNUMBER(Table1[[#This Row],[delivery_days]]),Table1[[#This Row],[delivery_days]],IFERROR(_xlfn.XLOOKUP(Table1[[#This Row],[delivery_days]],Table57[Original],Table57[Clean],,0,1),"Unknown"))</f>
        <v>5</v>
      </c>
      <c r="W475" t="s">
        <v>37</v>
      </c>
    </row>
    <row r="476" spans="1:23" x14ac:dyDescent="0.3">
      <c r="B476" t="str">
        <f>IF(ISBLANK(Table1[[#This Row],[order_id]]),"",IF(LEFT(Table1[[#This Row],[order_id]],3)="ORD",Table1[[#This Row],[order_id]],"ORD-" &amp; Table1[[#This Row],[order_id]]))</f>
        <v/>
      </c>
      <c r="C476" t="s">
        <v>459</v>
      </c>
      <c r="D476" s="1">
        <f>IFERROR(DATEVALUE(Table1[[#This Row],[order_date]]),"")</f>
        <v>45449</v>
      </c>
      <c r="F476" t="str">
        <f>IF(ISBLANK(Table1[[#This Row],[customer_name]]),"Unknown Customer",PROPER(SUBSTITUTE(Table1[[#This Row],[customer_name]],"Cust.","Customer")))</f>
        <v>Unknown Customer</v>
      </c>
      <c r="G476" t="s">
        <v>26</v>
      </c>
      <c r="H476" t="str">
        <f>IFERROR(_xlfn.XLOOKUP(Table1[[#This Row],[region]],Mappings!$C$3:$C$8,Mappings!$D$3:$D$8,,0,1),"Unknown")</f>
        <v>Asia</v>
      </c>
      <c r="I476" t="s">
        <v>78</v>
      </c>
      <c r="J476" t="str">
        <f>IFERROR(_xlfn.XLOOKUP(Table1[[#This Row],[sales_channel]],Table4[Original],Table4[Clean],,0,1),"Unknown")</f>
        <v>Mobile</v>
      </c>
      <c r="K476" t="s">
        <v>15</v>
      </c>
      <c r="L476" t="str">
        <f>IFERROR(_xlfn.XLOOKUP(Table1[[#This Row],[product]],Table3[Original],Table3[Product_clean],,0,1),"Unknown")</f>
        <v>Tablet</v>
      </c>
      <c r="M476" s="6">
        <v>1</v>
      </c>
      <c r="N476">
        <f>IF(ISNUMBER(Table1[[#This Row],[quantity]]),Table1[[#This Row],[quantity]],IFERROR(VLOOKUP(Table1[[#This Row],[quantity]],Table5[#All],2,FALSE),"Unknown"))</f>
        <v>1</v>
      </c>
      <c r="O476">
        <v>2869.86</v>
      </c>
      <c r="P476">
        <f>IFERROR(VALUE(SUBSTITUTE(SUBSTITUTE(SUBSTITUTE(Table1[[#This Row],[revenue]],"EUR",""),"$",""),".",",")),"")</f>
        <v>2869.86</v>
      </c>
      <c r="Q476" t="s">
        <v>17</v>
      </c>
      <c r="R476" t="str">
        <f>IF(OR(Table1[[#This Row],[currency]]="EUR",Table1[[#This Row],[currency]]="€"),"EUR",IF(OR(Table1[[#This Row],[currency]]="USD",Table1[[#This Row],[currency]]="$"),"USD","Unknown"))</f>
        <v>EUR</v>
      </c>
      <c r="S476" t="s">
        <v>23</v>
      </c>
      <c r="T476" t="str">
        <f>IFERROR(_xlfn.XLOOKUP(Table1[[#This Row],[order_status]],Table8[Original],Table8[Clean],,0,1),"Unknown")</f>
        <v>Delivered</v>
      </c>
      <c r="U476">
        <v>2</v>
      </c>
      <c r="V476">
        <f>IF(ISNUMBER(Table1[[#This Row],[delivery_days]]),Table1[[#This Row],[delivery_days]],IFERROR(_xlfn.XLOOKUP(Table1[[#This Row],[delivery_days]],Table57[Original],Table57[Clean],,0,1),"Unknown"))</f>
        <v>2</v>
      </c>
    </row>
    <row r="477" spans="1:23" x14ac:dyDescent="0.3">
      <c r="A477" t="s">
        <v>1100</v>
      </c>
      <c r="B477" t="str">
        <f>IF(ISBLANK(Table1[[#This Row],[order_id]]),"",IF(LEFT(Table1[[#This Row],[order_id]],3)="ORD",Table1[[#This Row],[order_id]],"ORD-" &amp; Table1[[#This Row],[order_id]]))</f>
        <v>ORD-1475</v>
      </c>
      <c r="C477" t="s">
        <v>1101</v>
      </c>
      <c r="D477" s="1" t="str">
        <f>IFERROR(DATEVALUE(Table1[[#This Row],[order_date]]),"")</f>
        <v/>
      </c>
      <c r="F477" t="str">
        <f>IF(ISBLANK(Table1[[#This Row],[customer_name]]),"Unknown Customer",PROPER(SUBSTITUTE(Table1[[#This Row],[customer_name]],"Cust.","Customer")))</f>
        <v>Unknown Customer</v>
      </c>
      <c r="G477" t="s">
        <v>45</v>
      </c>
      <c r="H477" t="str">
        <f>IFERROR(_xlfn.XLOOKUP(Table1[[#This Row],[region]],Mappings!$C$3:$C$8,Mappings!$D$3:$D$8,,0,1),"Unknown")</f>
        <v>USA</v>
      </c>
      <c r="I477" t="s">
        <v>68</v>
      </c>
      <c r="J477" t="str">
        <f>IFERROR(_xlfn.XLOOKUP(Table1[[#This Row],[sales_channel]],Table4[Original],Table4[Clean],,0,1),"Unknown")</f>
        <v>Online</v>
      </c>
      <c r="K477" t="s">
        <v>41</v>
      </c>
      <c r="L477" t="str">
        <f>IFERROR(_xlfn.XLOOKUP(Table1[[#This Row],[product]],Table3[Original],Table3[Product_clean],,0,1),"Unknown")</f>
        <v>Phone</v>
      </c>
      <c r="M477" s="6">
        <v>2</v>
      </c>
      <c r="N477">
        <f>IF(ISNUMBER(Table1[[#This Row],[quantity]]),Table1[[#This Row],[quantity]],IFERROR(VLOOKUP(Table1[[#This Row],[quantity]],Table5[#All],2,FALSE),"Unknown"))</f>
        <v>2</v>
      </c>
      <c r="O477" t="s">
        <v>1102</v>
      </c>
      <c r="P477">
        <f>IFERROR(VALUE(SUBSTITUTE(SUBSTITUTE(SUBSTITUTE(Table1[[#This Row],[revenue]],"EUR",""),"$",""),".",",")),"")</f>
        <v>482.84</v>
      </c>
      <c r="Q477" t="s">
        <v>58</v>
      </c>
      <c r="R477" t="str">
        <f>IF(OR(Table1[[#This Row],[currency]]="EUR",Table1[[#This Row],[currency]]="€"),"EUR",IF(OR(Table1[[#This Row],[currency]]="USD",Table1[[#This Row],[currency]]="$"),"USD","Unknown"))</f>
        <v>USD</v>
      </c>
      <c r="T477" t="str">
        <f>IFERROR(_xlfn.XLOOKUP(Table1[[#This Row],[order_status]],Table8[Original],Table8[Clean],,0,1),"Unknown")</f>
        <v>Unknown</v>
      </c>
      <c r="U477">
        <v>3</v>
      </c>
      <c r="V477">
        <f>IF(ISNUMBER(Table1[[#This Row],[delivery_days]]),Table1[[#This Row],[delivery_days]],IFERROR(_xlfn.XLOOKUP(Table1[[#This Row],[delivery_days]],Table57[Original],Table57[Clean],,0,1),"Unknown"))</f>
        <v>3</v>
      </c>
      <c r="W477" t="s">
        <v>24</v>
      </c>
    </row>
    <row r="478" spans="1:23" x14ac:dyDescent="0.3">
      <c r="A478" t="s">
        <v>1103</v>
      </c>
      <c r="B478" t="str">
        <f>IF(ISBLANK(Table1[[#This Row],[order_id]]),"",IF(LEFT(Table1[[#This Row],[order_id]],3)="ORD",Table1[[#This Row],[order_id]],"ORD-" &amp; Table1[[#This Row],[order_id]]))</f>
        <v>ORD-1476</v>
      </c>
      <c r="C478" t="s">
        <v>379</v>
      </c>
      <c r="D478" s="1" t="str">
        <f>IFERROR(DATEVALUE(Table1[[#This Row],[order_date]]),"")</f>
        <v/>
      </c>
      <c r="E478" t="s">
        <v>1104</v>
      </c>
      <c r="F478" t="str">
        <f>IF(ISBLANK(Table1[[#This Row],[customer_name]]),"Unknown Customer",PROPER(SUBSTITUTE(Table1[[#This Row],[customer_name]],"Cust.","Customer")))</f>
        <v>Customer 476</v>
      </c>
      <c r="G478" t="s">
        <v>45</v>
      </c>
      <c r="H478" t="str">
        <f>IFERROR(_xlfn.XLOOKUP(Table1[[#This Row],[region]],Mappings!$C$3:$C$8,Mappings!$D$3:$D$8,,0,1),"Unknown")</f>
        <v>USA</v>
      </c>
      <c r="I478" t="s">
        <v>14</v>
      </c>
      <c r="J478" t="str">
        <f>IFERROR(_xlfn.XLOOKUP(Table1[[#This Row],[sales_channel]],Table4[Original],Table4[Clean],,0,1),"Unknown")</f>
        <v>Online</v>
      </c>
      <c r="K478" t="s">
        <v>33</v>
      </c>
      <c r="L478" t="str">
        <f>IFERROR(_xlfn.XLOOKUP(Table1[[#This Row],[product]],Table3[Original],Table3[Product_clean],,0,1),"Unknown")</f>
        <v>Tablet</v>
      </c>
      <c r="M478" s="6"/>
      <c r="N478" t="str">
        <f>IF(ISNUMBER(Table1[[#This Row],[quantity]]),Table1[[#This Row],[quantity]],IFERROR(VLOOKUP(Table1[[#This Row],[quantity]],Table5[#All],2,FALSE),"Unknown"))</f>
        <v>Unknown</v>
      </c>
      <c r="O478" t="s">
        <v>1105</v>
      </c>
      <c r="P478">
        <f>IFERROR(VALUE(SUBSTITUTE(SUBSTITUTE(SUBSTITUTE(Table1[[#This Row],[revenue]],"EUR",""),"$",""),".",",")),"")</f>
        <v>2393.3200000000002</v>
      </c>
      <c r="Q478" t="s">
        <v>22</v>
      </c>
      <c r="R478" t="str">
        <f>IF(OR(Table1[[#This Row],[currency]]="EUR",Table1[[#This Row],[currency]]="€"),"EUR",IF(OR(Table1[[#This Row],[currency]]="USD",Table1[[#This Row],[currency]]="$"),"USD","Unknown"))</f>
        <v>USD</v>
      </c>
      <c r="S478" t="s">
        <v>23</v>
      </c>
      <c r="T478" t="str">
        <f>IFERROR(_xlfn.XLOOKUP(Table1[[#This Row],[order_status]],Table8[Original],Table8[Clean],,0,1),"Unknown")</f>
        <v>Delivered</v>
      </c>
      <c r="U478">
        <v>3</v>
      </c>
      <c r="V478">
        <f>IF(ISNUMBER(Table1[[#This Row],[delivery_days]]),Table1[[#This Row],[delivery_days]],IFERROR(_xlfn.XLOOKUP(Table1[[#This Row],[delivery_days]],Table57[Original],Table57[Clean],,0,1),"Unknown"))</f>
        <v>3</v>
      </c>
    </row>
    <row r="479" spans="1:23" x14ac:dyDescent="0.3">
      <c r="A479">
        <v>1477</v>
      </c>
      <c r="B479" t="str">
        <f>IF(ISBLANK(Table1[[#This Row],[order_id]]),"",IF(LEFT(Table1[[#This Row],[order_id]],3)="ORD",Table1[[#This Row],[order_id]],"ORD-" &amp; Table1[[#This Row],[order_id]]))</f>
        <v>ORD-1477</v>
      </c>
      <c r="C479" t="s">
        <v>1106</v>
      </c>
      <c r="D479" s="1">
        <f>IFERROR(DATEVALUE(Table1[[#This Row],[order_date]]),"")</f>
        <v>45511</v>
      </c>
      <c r="E479" t="s">
        <v>1107</v>
      </c>
      <c r="F479" t="str">
        <f>IF(ISBLANK(Table1[[#This Row],[customer_name]]),"Unknown Customer",PROPER(SUBSTITUTE(Table1[[#This Row],[customer_name]],"Cust.","Customer")))</f>
        <v>Customer 477</v>
      </c>
      <c r="H479" t="str">
        <f>IFERROR(_xlfn.XLOOKUP(Table1[[#This Row],[region]],Mappings!$C$3:$C$8,Mappings!$D$3:$D$8,,0,1),"Unknown")</f>
        <v>Unknown</v>
      </c>
      <c r="I479" t="s">
        <v>50</v>
      </c>
      <c r="J479" t="str">
        <f>IFERROR(_xlfn.XLOOKUP(Table1[[#This Row],[sales_channel]],Table4[Original],Table4[Clean],,0,1),"Unknown")</f>
        <v>Mobile</v>
      </c>
      <c r="L479" t="str">
        <f>IFERROR(_xlfn.XLOOKUP(Table1[[#This Row],[product]],Table3[Original],Table3[Product_clean],,0,1),"Unknown")</f>
        <v>Unknown</v>
      </c>
      <c r="M479" s="6">
        <v>1</v>
      </c>
      <c r="N479">
        <f>IF(ISNUMBER(Table1[[#This Row],[quantity]]),Table1[[#This Row],[quantity]],IFERROR(VLOOKUP(Table1[[#This Row],[quantity]],Table5[#All],2,FALSE),"Unknown"))</f>
        <v>1</v>
      </c>
      <c r="O479">
        <v>2708.17</v>
      </c>
      <c r="P479">
        <f>IFERROR(VALUE(SUBSTITUTE(SUBSTITUTE(SUBSTITUTE(Table1[[#This Row],[revenue]],"EUR",""),"$",""),".",",")),"")</f>
        <v>2708.17</v>
      </c>
      <c r="Q479" t="s">
        <v>58</v>
      </c>
      <c r="R479" t="str">
        <f>IF(OR(Table1[[#This Row],[currency]]="EUR",Table1[[#This Row],[currency]]="€"),"EUR",IF(OR(Table1[[#This Row],[currency]]="USD",Table1[[#This Row],[currency]]="$"),"USD","Unknown"))</f>
        <v>USD</v>
      </c>
      <c r="S479" t="s">
        <v>47</v>
      </c>
      <c r="T479" t="str">
        <f>IFERROR(_xlfn.XLOOKUP(Table1[[#This Row],[order_status]],Table8[Original],Table8[Clean],,0,1),"Unknown")</f>
        <v>Returned</v>
      </c>
      <c r="V479" t="str">
        <f>IF(ISNUMBER(Table1[[#This Row],[delivery_days]]),Table1[[#This Row],[delivery_days]],IFERROR(_xlfn.XLOOKUP(Table1[[#This Row],[delivery_days]],Table57[Original],Table57[Clean],,0,1),"Unknown"))</f>
        <v>Unknown</v>
      </c>
    </row>
    <row r="480" spans="1:23" x14ac:dyDescent="0.3">
      <c r="A480" t="s">
        <v>1108</v>
      </c>
      <c r="B480" t="str">
        <f>IF(ISBLANK(Table1[[#This Row],[order_id]]),"",IF(LEFT(Table1[[#This Row],[order_id]],3)="ORD",Table1[[#This Row],[order_id]],"ORD-" &amp; Table1[[#This Row],[order_id]]))</f>
        <v>ORD-1478</v>
      </c>
      <c r="D480" s="1" t="str">
        <f>IFERROR(DATEVALUE(Table1[[#This Row],[order_date]]),"")</f>
        <v/>
      </c>
      <c r="F480" t="str">
        <f>IF(ISBLANK(Table1[[#This Row],[customer_name]]),"Unknown Customer",PROPER(SUBSTITUTE(Table1[[#This Row],[customer_name]],"Cust.","Customer")))</f>
        <v>Unknown Customer</v>
      </c>
      <c r="G480" t="s">
        <v>45</v>
      </c>
      <c r="H480" t="str">
        <f>IFERROR(_xlfn.XLOOKUP(Table1[[#This Row],[region]],Mappings!$C$3:$C$8,Mappings!$D$3:$D$8,,0,1),"Unknown")</f>
        <v>USA</v>
      </c>
      <c r="I480" t="s">
        <v>27</v>
      </c>
      <c r="J480" t="str">
        <f>IFERROR(_xlfn.XLOOKUP(Table1[[#This Row],[sales_channel]],Table4[Original],Table4[Clean],,0,1),"Unknown")</f>
        <v>Online</v>
      </c>
      <c r="K480" t="s">
        <v>15</v>
      </c>
      <c r="L480" t="str">
        <f>IFERROR(_xlfn.XLOOKUP(Table1[[#This Row],[product]],Table3[Original],Table3[Product_clean],,0,1),"Unknown")</f>
        <v>Tablet</v>
      </c>
      <c r="M480" s="6">
        <v>2</v>
      </c>
      <c r="N480">
        <f>IF(ISNUMBER(Table1[[#This Row],[quantity]]),Table1[[#This Row],[quantity]],IFERROR(VLOOKUP(Table1[[#This Row],[quantity]],Table5[#All],2,FALSE),"Unknown"))</f>
        <v>2</v>
      </c>
      <c r="P480" t="str">
        <f>IFERROR(VALUE(SUBSTITUTE(SUBSTITUTE(SUBSTITUTE(Table1[[#This Row],[revenue]],"EUR",""),"$",""),".",",")),"")</f>
        <v/>
      </c>
      <c r="Q480" t="s">
        <v>22</v>
      </c>
      <c r="R480" t="str">
        <f>IF(OR(Table1[[#This Row],[currency]]="EUR",Table1[[#This Row],[currency]]="€"),"EUR",IF(OR(Table1[[#This Row],[currency]]="USD",Table1[[#This Row],[currency]]="$"),"USD","Unknown"))</f>
        <v>USD</v>
      </c>
      <c r="S480" t="s">
        <v>23</v>
      </c>
      <c r="T480" t="str">
        <f>IFERROR(_xlfn.XLOOKUP(Table1[[#This Row],[order_status]],Table8[Original],Table8[Clean],,0,1),"Unknown")</f>
        <v>Delivered</v>
      </c>
      <c r="U480">
        <v>2</v>
      </c>
      <c r="V480">
        <f>IF(ISNUMBER(Table1[[#This Row],[delivery_days]]),Table1[[#This Row],[delivery_days]],IFERROR(_xlfn.XLOOKUP(Table1[[#This Row],[delivery_days]],Table57[Original],Table57[Clean],,0,1),"Unknown"))</f>
        <v>2</v>
      </c>
    </row>
    <row r="481" spans="1:23" x14ac:dyDescent="0.3">
      <c r="A481" t="s">
        <v>1109</v>
      </c>
      <c r="B481" t="str">
        <f>IF(ISBLANK(Table1[[#This Row],[order_id]]),"",IF(LEFT(Table1[[#This Row],[order_id]],3)="ORD",Table1[[#This Row],[order_id]],"ORD-" &amp; Table1[[#This Row],[order_id]]))</f>
        <v>ORD-1479</v>
      </c>
      <c r="C481" t="s">
        <v>1110</v>
      </c>
      <c r="D481" s="1">
        <f>IFERROR(DATEVALUE(Table1[[#This Row],[order_date]]),"")</f>
        <v>45476</v>
      </c>
      <c r="E481" t="s">
        <v>1111</v>
      </c>
      <c r="F481" t="str">
        <f>IF(ISBLANK(Table1[[#This Row],[customer_name]]),"Unknown Customer",PROPER(SUBSTITUTE(Table1[[#This Row],[customer_name]],"Cust.","Customer")))</f>
        <v>Customer 479</v>
      </c>
      <c r="G481" t="s">
        <v>73</v>
      </c>
      <c r="H481" t="str">
        <f>IFERROR(_xlfn.XLOOKUP(Table1[[#This Row],[region]],Mappings!$C$3:$C$8,Mappings!$D$3:$D$8,,0,1),"Unknown")</f>
        <v>Europe</v>
      </c>
      <c r="I481" t="s">
        <v>14</v>
      </c>
      <c r="J481" t="str">
        <f>IFERROR(_xlfn.XLOOKUP(Table1[[#This Row],[sales_channel]],Table4[Original],Table4[Clean],,0,1),"Unknown")</f>
        <v>Online</v>
      </c>
      <c r="K481" t="s">
        <v>15</v>
      </c>
      <c r="L481" t="str">
        <f>IFERROR(_xlfn.XLOOKUP(Table1[[#This Row],[product]],Table3[Original],Table3[Product_clean],,0,1),"Unknown")</f>
        <v>Tablet</v>
      </c>
      <c r="M481" s="6">
        <v>1</v>
      </c>
      <c r="N481">
        <f>IF(ISNUMBER(Table1[[#This Row],[quantity]]),Table1[[#This Row],[quantity]],IFERROR(VLOOKUP(Table1[[#This Row],[quantity]],Table5[#All],2,FALSE),"Unknown"))</f>
        <v>1</v>
      </c>
      <c r="O481" t="s">
        <v>1112</v>
      </c>
      <c r="P481">
        <f>IFERROR(VALUE(SUBSTITUTE(SUBSTITUTE(SUBSTITUTE(Table1[[#This Row],[revenue]],"EUR",""),"$",""),".",",")),"")</f>
        <v>2527.89</v>
      </c>
      <c r="Q481" t="s">
        <v>58</v>
      </c>
      <c r="R481" t="str">
        <f>IF(OR(Table1[[#This Row],[currency]]="EUR",Table1[[#This Row],[currency]]="€"),"EUR",IF(OR(Table1[[#This Row],[currency]]="USD",Table1[[#This Row],[currency]]="$"),"USD","Unknown"))</f>
        <v>USD</v>
      </c>
      <c r="T481" t="str">
        <f>IFERROR(_xlfn.XLOOKUP(Table1[[#This Row],[order_status]],Table8[Original],Table8[Clean],,0,1),"Unknown")</f>
        <v>Unknown</v>
      </c>
      <c r="U481">
        <v>5</v>
      </c>
      <c r="V481">
        <f>IF(ISNUMBER(Table1[[#This Row],[delivery_days]]),Table1[[#This Row],[delivery_days]],IFERROR(_xlfn.XLOOKUP(Table1[[#This Row],[delivery_days]],Table57[Original],Table57[Clean],,0,1),"Unknown"))</f>
        <v>5</v>
      </c>
    </row>
    <row r="482" spans="1:23" x14ac:dyDescent="0.3">
      <c r="A482" t="s">
        <v>1113</v>
      </c>
      <c r="B482" t="str">
        <f>IF(ISBLANK(Table1[[#This Row],[order_id]]),"",IF(LEFT(Table1[[#This Row],[order_id]],3)="ORD",Table1[[#This Row],[order_id]],"ORD-" &amp; Table1[[#This Row],[order_id]]))</f>
        <v>ORD-1480</v>
      </c>
      <c r="D482" s="1" t="str">
        <f>IFERROR(DATEVALUE(Table1[[#This Row],[order_date]]),"")</f>
        <v/>
      </c>
      <c r="E482" t="s">
        <v>1114</v>
      </c>
      <c r="F482" t="str">
        <f>IF(ISBLANK(Table1[[#This Row],[customer_name]]),"Unknown Customer",PROPER(SUBSTITUTE(Table1[[#This Row],[customer_name]],"Cust.","Customer")))</f>
        <v>Customer 480</v>
      </c>
      <c r="G482" t="s">
        <v>32</v>
      </c>
      <c r="H482" t="str">
        <f>IFERROR(_xlfn.XLOOKUP(Table1[[#This Row],[region]],Mappings!$C$3:$C$8,Mappings!$D$3:$D$8,,0,1),"Unknown")</f>
        <v>Europe</v>
      </c>
      <c r="I482" t="s">
        <v>68</v>
      </c>
      <c r="J482" t="str">
        <f>IFERROR(_xlfn.XLOOKUP(Table1[[#This Row],[sales_channel]],Table4[Original],Table4[Clean],,0,1),"Unknown")</f>
        <v>Online</v>
      </c>
      <c r="K482" t="s">
        <v>41</v>
      </c>
      <c r="L482" t="str">
        <f>IFERROR(_xlfn.XLOOKUP(Table1[[#This Row],[product]],Table3[Original],Table3[Product_clean],,0,1),"Unknown")</f>
        <v>Phone</v>
      </c>
      <c r="M482" s="6"/>
      <c r="N482" t="str">
        <f>IF(ISNUMBER(Table1[[#This Row],[quantity]]),Table1[[#This Row],[quantity]],IFERROR(VLOOKUP(Table1[[#This Row],[quantity]],Table5[#All],2,FALSE),"Unknown"))</f>
        <v>Unknown</v>
      </c>
      <c r="P482" t="str">
        <f>IFERROR(VALUE(SUBSTITUTE(SUBSTITUTE(SUBSTITUTE(Table1[[#This Row],[revenue]],"EUR",""),"$",""),".",",")),"")</f>
        <v/>
      </c>
      <c r="Q482" t="s">
        <v>22</v>
      </c>
      <c r="R482" t="str">
        <f>IF(OR(Table1[[#This Row],[currency]]="EUR",Table1[[#This Row],[currency]]="€"),"EUR",IF(OR(Table1[[#This Row],[currency]]="USD",Table1[[#This Row],[currency]]="$"),"USD","Unknown"))</f>
        <v>USD</v>
      </c>
      <c r="S482" t="s">
        <v>47</v>
      </c>
      <c r="T482" t="str">
        <f>IFERROR(_xlfn.XLOOKUP(Table1[[#This Row],[order_status]],Table8[Original],Table8[Clean],,0,1),"Unknown")</f>
        <v>Returned</v>
      </c>
      <c r="U482">
        <v>3</v>
      </c>
      <c r="V482">
        <f>IF(ISNUMBER(Table1[[#This Row],[delivery_days]]),Table1[[#This Row],[delivery_days]],IFERROR(_xlfn.XLOOKUP(Table1[[#This Row],[delivery_days]],Table57[Original],Table57[Clean],,0,1),"Unknown"))</f>
        <v>3</v>
      </c>
      <c r="W482" t="s">
        <v>37</v>
      </c>
    </row>
    <row r="483" spans="1:23" x14ac:dyDescent="0.3">
      <c r="B483" t="str">
        <f>IF(ISBLANK(Table1[[#This Row],[order_id]]),"",IF(LEFT(Table1[[#This Row],[order_id]],3)="ORD",Table1[[#This Row],[order_id]],"ORD-" &amp; Table1[[#This Row],[order_id]]))</f>
        <v/>
      </c>
      <c r="D483" s="1" t="str">
        <f>IFERROR(DATEVALUE(Table1[[#This Row],[order_date]]),"")</f>
        <v/>
      </c>
      <c r="E483" t="s">
        <v>1115</v>
      </c>
      <c r="F483" t="str">
        <f>IF(ISBLANK(Table1[[#This Row],[customer_name]]),"Unknown Customer",PROPER(SUBSTITUTE(Table1[[#This Row],[customer_name]],"Cust.","Customer")))</f>
        <v>Customer 481</v>
      </c>
      <c r="H483" t="str">
        <f>IFERROR(_xlfn.XLOOKUP(Table1[[#This Row],[region]],Mappings!$C$3:$C$8,Mappings!$D$3:$D$8,,0,1),"Unknown")</f>
        <v>Unknown</v>
      </c>
      <c r="I483" t="s">
        <v>68</v>
      </c>
      <c r="J483" t="str">
        <f>IFERROR(_xlfn.XLOOKUP(Table1[[#This Row],[sales_channel]],Table4[Original],Table4[Clean],,0,1),"Unknown")</f>
        <v>Online</v>
      </c>
      <c r="K483" t="s">
        <v>102</v>
      </c>
      <c r="L483" t="str">
        <f>IFERROR(_xlfn.XLOOKUP(Table1[[#This Row],[product]],Table3[Original],Table3[Product_clean],,0,1),"Unknown")</f>
        <v>Phone</v>
      </c>
      <c r="M483" s="6" t="s">
        <v>83</v>
      </c>
      <c r="N483">
        <f>IF(ISNUMBER(Table1[[#This Row],[quantity]]),Table1[[#This Row],[quantity]],IFERROR(VLOOKUP(Table1[[#This Row],[quantity]],Table5[#All],2,FALSE),"Unknown"))</f>
        <v>2</v>
      </c>
      <c r="O483">
        <v>1303.08</v>
      </c>
      <c r="P483">
        <f>IFERROR(VALUE(SUBSTITUTE(SUBSTITUTE(SUBSTITUTE(Table1[[#This Row],[revenue]],"EUR",""),"$",""),".",",")),"")</f>
        <v>1303.08</v>
      </c>
      <c r="R483" t="str">
        <f>IF(OR(Table1[[#This Row],[currency]]="EUR",Table1[[#This Row],[currency]]="€"),"EUR",IF(OR(Table1[[#This Row],[currency]]="USD",Table1[[#This Row],[currency]]="$"),"USD","Unknown"))</f>
        <v>Unknown</v>
      </c>
      <c r="S483" t="s">
        <v>18</v>
      </c>
      <c r="T483" t="str">
        <f>IFERROR(_xlfn.XLOOKUP(Table1[[#This Row],[order_status]],Table8[Original],Table8[Clean],,0,1),"Unknown")</f>
        <v>Pending</v>
      </c>
      <c r="U483">
        <v>3</v>
      </c>
      <c r="V483">
        <f>IF(ISNUMBER(Table1[[#This Row],[delivery_days]]),Table1[[#This Row],[delivery_days]],IFERROR(_xlfn.XLOOKUP(Table1[[#This Row],[delivery_days]],Table57[Original],Table57[Clean],,0,1),"Unknown"))</f>
        <v>3</v>
      </c>
    </row>
    <row r="484" spans="1:23" x14ac:dyDescent="0.3">
      <c r="A484">
        <v>1482</v>
      </c>
      <c r="B484" t="str">
        <f>IF(ISBLANK(Table1[[#This Row],[order_id]]),"",IF(LEFT(Table1[[#This Row],[order_id]],3)="ORD",Table1[[#This Row],[order_id]],"ORD-" &amp; Table1[[#This Row],[order_id]]))</f>
        <v>ORD-1482</v>
      </c>
      <c r="D484" s="1" t="str">
        <f>IFERROR(DATEVALUE(Table1[[#This Row],[order_date]]),"")</f>
        <v/>
      </c>
      <c r="E484" t="s">
        <v>1116</v>
      </c>
      <c r="F484" t="str">
        <f>IF(ISBLANK(Table1[[#This Row],[customer_name]]),"Unknown Customer",PROPER(SUBSTITUTE(Table1[[#This Row],[customer_name]],"Cust.","Customer")))</f>
        <v>Customer 482</v>
      </c>
      <c r="G484" t="s">
        <v>54</v>
      </c>
      <c r="H484" t="str">
        <f>IFERROR(_xlfn.XLOOKUP(Table1[[#This Row],[region]],Mappings!$C$3:$C$8,Mappings!$D$3:$D$8,,0,1),"Unknown")</f>
        <v>USA</v>
      </c>
      <c r="J484" t="str">
        <f>IFERROR(_xlfn.XLOOKUP(Table1[[#This Row],[sales_channel]],Table4[Original],Table4[Clean],,0,1),"Unknown")</f>
        <v>Unknown</v>
      </c>
      <c r="K484" t="s">
        <v>15</v>
      </c>
      <c r="L484" t="str">
        <f>IFERROR(_xlfn.XLOOKUP(Table1[[#This Row],[product]],Table3[Original],Table3[Product_clean],,0,1),"Unknown")</f>
        <v>Tablet</v>
      </c>
      <c r="M484" s="6"/>
      <c r="N484" t="str">
        <f>IF(ISNUMBER(Table1[[#This Row],[quantity]]),Table1[[#This Row],[quantity]],IFERROR(VLOOKUP(Table1[[#This Row],[quantity]],Table5[#All],2,FALSE),"Unknown"))</f>
        <v>Unknown</v>
      </c>
      <c r="O484" t="s">
        <v>1117</v>
      </c>
      <c r="P484">
        <f>IFERROR(VALUE(SUBSTITUTE(SUBSTITUTE(SUBSTITUTE(Table1[[#This Row],[revenue]],"EUR",""),"$",""),".",",")),"")</f>
        <v>1726.04</v>
      </c>
      <c r="Q484" t="s">
        <v>55</v>
      </c>
      <c r="R484" t="str">
        <f>IF(OR(Table1[[#This Row],[currency]]="EUR",Table1[[#This Row],[currency]]="€"),"EUR",IF(OR(Table1[[#This Row],[currency]]="USD",Table1[[#This Row],[currency]]="$"),"USD","Unknown"))</f>
        <v>EUR</v>
      </c>
      <c r="S484" t="s">
        <v>47</v>
      </c>
      <c r="T484" t="str">
        <f>IFERROR(_xlfn.XLOOKUP(Table1[[#This Row],[order_status]],Table8[Original],Table8[Clean],,0,1),"Unknown")</f>
        <v>Returned</v>
      </c>
      <c r="U484" t="s">
        <v>36</v>
      </c>
      <c r="V484">
        <f>IF(ISNUMBER(Table1[[#This Row],[delivery_days]]),Table1[[#This Row],[delivery_days]],IFERROR(_xlfn.XLOOKUP(Table1[[#This Row],[delivery_days]],Table57[Original],Table57[Clean],,0,1),"Unknown"))</f>
        <v>5</v>
      </c>
    </row>
    <row r="485" spans="1:23" x14ac:dyDescent="0.3">
      <c r="A485">
        <v>1483</v>
      </c>
      <c r="B485" t="str">
        <f>IF(ISBLANK(Table1[[#This Row],[order_id]]),"",IF(LEFT(Table1[[#This Row],[order_id]],3)="ORD",Table1[[#This Row],[order_id]],"ORD-" &amp; Table1[[#This Row],[order_id]]))</f>
        <v>ORD-1483</v>
      </c>
      <c r="D485" s="1" t="str">
        <f>IFERROR(DATEVALUE(Table1[[#This Row],[order_date]]),"")</f>
        <v/>
      </c>
      <c r="E485" t="s">
        <v>1118</v>
      </c>
      <c r="F485" t="str">
        <f>IF(ISBLANK(Table1[[#This Row],[customer_name]]),"Unknown Customer",PROPER(SUBSTITUTE(Table1[[#This Row],[customer_name]],"Cust.","Customer")))</f>
        <v>Customer 483</v>
      </c>
      <c r="H485" t="str">
        <f>IFERROR(_xlfn.XLOOKUP(Table1[[#This Row],[region]],Mappings!$C$3:$C$8,Mappings!$D$3:$D$8,,0,1),"Unknown")</f>
        <v>Unknown</v>
      </c>
      <c r="J485" t="str">
        <f>IFERROR(_xlfn.XLOOKUP(Table1[[#This Row],[sales_channel]],Table4[Original],Table4[Clean],,0,1),"Unknown")</f>
        <v>Unknown</v>
      </c>
      <c r="K485" t="s">
        <v>33</v>
      </c>
      <c r="L485" t="str">
        <f>IFERROR(_xlfn.XLOOKUP(Table1[[#This Row],[product]],Table3[Original],Table3[Product_clean],,0,1),"Unknown")</f>
        <v>Tablet</v>
      </c>
      <c r="M485" s="6"/>
      <c r="N485" t="str">
        <f>IF(ISNUMBER(Table1[[#This Row],[quantity]]),Table1[[#This Row],[quantity]],IFERROR(VLOOKUP(Table1[[#This Row],[quantity]],Table5[#All],2,FALSE),"Unknown"))</f>
        <v>Unknown</v>
      </c>
      <c r="O485">
        <v>2675.25</v>
      </c>
      <c r="P485">
        <f>IFERROR(VALUE(SUBSTITUTE(SUBSTITUTE(SUBSTITUTE(Table1[[#This Row],[revenue]],"EUR",""),"$",""),".",",")),"")</f>
        <v>2675.25</v>
      </c>
      <c r="Q485" t="s">
        <v>55</v>
      </c>
      <c r="R485" t="str">
        <f>IF(OR(Table1[[#This Row],[currency]]="EUR",Table1[[#This Row],[currency]]="€"),"EUR",IF(OR(Table1[[#This Row],[currency]]="USD",Table1[[#This Row],[currency]]="$"),"USD","Unknown"))</f>
        <v>EUR</v>
      </c>
      <c r="S485" t="s">
        <v>18</v>
      </c>
      <c r="T485" t="str">
        <f>IFERROR(_xlfn.XLOOKUP(Table1[[#This Row],[order_status]],Table8[Original],Table8[Clean],,0,1),"Unknown")</f>
        <v>Pending</v>
      </c>
      <c r="U485">
        <v>1</v>
      </c>
      <c r="V485">
        <f>IF(ISNUMBER(Table1[[#This Row],[delivery_days]]),Table1[[#This Row],[delivery_days]],IFERROR(_xlfn.XLOOKUP(Table1[[#This Row],[delivery_days]],Table57[Original],Table57[Clean],,0,1),"Unknown"))</f>
        <v>1</v>
      </c>
      <c r="W485" t="s">
        <v>24</v>
      </c>
    </row>
    <row r="486" spans="1:23" x14ac:dyDescent="0.3">
      <c r="A486" t="s">
        <v>1119</v>
      </c>
      <c r="B486" t="str">
        <f>IF(ISBLANK(Table1[[#This Row],[order_id]]),"",IF(LEFT(Table1[[#This Row],[order_id]],3)="ORD",Table1[[#This Row],[order_id]],"ORD-" &amp; Table1[[#This Row],[order_id]]))</f>
        <v>ORD-1484</v>
      </c>
      <c r="D486" s="1" t="str">
        <f>IFERROR(DATEVALUE(Table1[[#This Row],[order_date]]),"")</f>
        <v/>
      </c>
      <c r="E486" t="s">
        <v>1120</v>
      </c>
      <c r="F486" t="str">
        <f>IF(ISBLANK(Table1[[#This Row],[customer_name]]),"Unknown Customer",PROPER(SUBSTITUTE(Table1[[#This Row],[customer_name]],"Cust.","Customer")))</f>
        <v>Customer 484</v>
      </c>
      <c r="G486" t="s">
        <v>32</v>
      </c>
      <c r="H486" t="str">
        <f>IFERROR(_xlfn.XLOOKUP(Table1[[#This Row],[region]],Mappings!$C$3:$C$8,Mappings!$D$3:$D$8,,0,1),"Unknown")</f>
        <v>Europe</v>
      </c>
      <c r="I486" t="s">
        <v>50</v>
      </c>
      <c r="J486" t="str">
        <f>IFERROR(_xlfn.XLOOKUP(Table1[[#This Row],[sales_channel]],Table4[Original],Table4[Clean],,0,1),"Unknown")</f>
        <v>Mobile</v>
      </c>
      <c r="L486" t="str">
        <f>IFERROR(_xlfn.XLOOKUP(Table1[[#This Row],[product]],Table3[Original],Table3[Product_clean],,0,1),"Unknown")</f>
        <v>Unknown</v>
      </c>
      <c r="M486" s="6">
        <v>3</v>
      </c>
      <c r="N486">
        <f>IF(ISNUMBER(Table1[[#This Row],[quantity]]),Table1[[#This Row],[quantity]],IFERROR(VLOOKUP(Table1[[#This Row],[quantity]],Table5[#All],2,FALSE),"Unknown"))</f>
        <v>3</v>
      </c>
      <c r="P486" t="str">
        <f>IFERROR(VALUE(SUBSTITUTE(SUBSTITUTE(SUBSTITUTE(Table1[[#This Row],[revenue]],"EUR",""),"$",""),".",",")),"")</f>
        <v/>
      </c>
      <c r="Q486" t="s">
        <v>55</v>
      </c>
      <c r="R486" t="str">
        <f>IF(OR(Table1[[#This Row],[currency]]="EUR",Table1[[#This Row],[currency]]="€"),"EUR",IF(OR(Table1[[#This Row],[currency]]="USD",Table1[[#This Row],[currency]]="$"),"USD","Unknown"))</f>
        <v>EUR</v>
      </c>
      <c r="S486" t="s">
        <v>23</v>
      </c>
      <c r="T486" t="str">
        <f>IFERROR(_xlfn.XLOOKUP(Table1[[#This Row],[order_status]],Table8[Original],Table8[Clean],,0,1),"Unknown")</f>
        <v>Delivered</v>
      </c>
      <c r="U486">
        <v>1</v>
      </c>
      <c r="V486">
        <f>IF(ISNUMBER(Table1[[#This Row],[delivery_days]]),Table1[[#This Row],[delivery_days]],IFERROR(_xlfn.XLOOKUP(Table1[[#This Row],[delivery_days]],Table57[Original],Table57[Clean],,0,1),"Unknown"))</f>
        <v>1</v>
      </c>
      <c r="W486" t="s">
        <v>24</v>
      </c>
    </row>
    <row r="487" spans="1:23" x14ac:dyDescent="0.3">
      <c r="A487">
        <v>1485</v>
      </c>
      <c r="B487" t="str">
        <f>IF(ISBLANK(Table1[[#This Row],[order_id]]),"",IF(LEFT(Table1[[#This Row],[order_id]],3)="ORD",Table1[[#This Row],[order_id]],"ORD-" &amp; Table1[[#This Row],[order_id]]))</f>
        <v>ORD-1485</v>
      </c>
      <c r="D487" s="1" t="str">
        <f>IFERROR(DATEVALUE(Table1[[#This Row],[order_date]]),"")</f>
        <v/>
      </c>
      <c r="E487" t="s">
        <v>1121</v>
      </c>
      <c r="F487" t="str">
        <f>IF(ISBLANK(Table1[[#This Row],[customer_name]]),"Unknown Customer",PROPER(SUBSTITUTE(Table1[[#This Row],[customer_name]],"Cust.","Customer")))</f>
        <v>Customer 485</v>
      </c>
      <c r="G487" t="s">
        <v>45</v>
      </c>
      <c r="H487" t="str">
        <f>IFERROR(_xlfn.XLOOKUP(Table1[[#This Row],[region]],Mappings!$C$3:$C$8,Mappings!$D$3:$D$8,,0,1),"Unknown")</f>
        <v>USA</v>
      </c>
      <c r="I487" t="s">
        <v>14</v>
      </c>
      <c r="J487" t="str">
        <f>IFERROR(_xlfn.XLOOKUP(Table1[[#This Row],[sales_channel]],Table4[Original],Table4[Clean],,0,1),"Unknown")</f>
        <v>Online</v>
      </c>
      <c r="K487" t="s">
        <v>15</v>
      </c>
      <c r="L487" t="str">
        <f>IFERROR(_xlfn.XLOOKUP(Table1[[#This Row],[product]],Table3[Original],Table3[Product_clean],,0,1),"Unknown")</f>
        <v>Tablet</v>
      </c>
      <c r="M487" s="6">
        <v>3</v>
      </c>
      <c r="N487">
        <f>IF(ISNUMBER(Table1[[#This Row],[quantity]]),Table1[[#This Row],[quantity]],IFERROR(VLOOKUP(Table1[[#This Row],[quantity]],Table5[#All],2,FALSE),"Unknown"))</f>
        <v>3</v>
      </c>
      <c r="O487" t="s">
        <v>1122</v>
      </c>
      <c r="P487">
        <f>IFERROR(VALUE(SUBSTITUTE(SUBSTITUTE(SUBSTITUTE(Table1[[#This Row],[revenue]],"EUR",""),"$",""),".",",")),"")</f>
        <v>2365.81</v>
      </c>
      <c r="R487" t="str">
        <f>IF(OR(Table1[[#This Row],[currency]]="EUR",Table1[[#This Row],[currency]]="€"),"EUR",IF(OR(Table1[[#This Row],[currency]]="USD",Table1[[#This Row],[currency]]="$"),"USD","Unknown"))</f>
        <v>Unknown</v>
      </c>
      <c r="S487" t="s">
        <v>30</v>
      </c>
      <c r="T487" t="str">
        <f>IFERROR(_xlfn.XLOOKUP(Table1[[#This Row],[order_status]],Table8[Original],Table8[Clean],,0,1),"Unknown")</f>
        <v>Delivered</v>
      </c>
      <c r="U487">
        <v>3</v>
      </c>
      <c r="V487">
        <f>IF(ISNUMBER(Table1[[#This Row],[delivery_days]]),Table1[[#This Row],[delivery_days]],IFERROR(_xlfn.XLOOKUP(Table1[[#This Row],[delivery_days]],Table57[Original],Table57[Clean],,0,1),"Unknown"))</f>
        <v>3</v>
      </c>
    </row>
    <row r="488" spans="1:23" x14ac:dyDescent="0.3">
      <c r="A488" t="s">
        <v>1123</v>
      </c>
      <c r="B488" t="str">
        <f>IF(ISBLANK(Table1[[#This Row],[order_id]]),"",IF(LEFT(Table1[[#This Row],[order_id]],3)="ORD",Table1[[#This Row],[order_id]],"ORD-" &amp; Table1[[#This Row],[order_id]]))</f>
        <v>ORD-1486</v>
      </c>
      <c r="C488" t="s">
        <v>1124</v>
      </c>
      <c r="D488" s="1">
        <f>IFERROR(DATEVALUE(Table1[[#This Row],[order_date]]),"")</f>
        <v>45628</v>
      </c>
      <c r="E488" t="s">
        <v>1125</v>
      </c>
      <c r="F488" t="str">
        <f>IF(ISBLANK(Table1[[#This Row],[customer_name]]),"Unknown Customer",PROPER(SUBSTITUTE(Table1[[#This Row],[customer_name]],"Cust.","Customer")))</f>
        <v>Customer 486</v>
      </c>
      <c r="G488" t="s">
        <v>45</v>
      </c>
      <c r="H488" t="str">
        <f>IFERROR(_xlfn.XLOOKUP(Table1[[#This Row],[region]],Mappings!$C$3:$C$8,Mappings!$D$3:$D$8,,0,1),"Unknown")</f>
        <v>USA</v>
      </c>
      <c r="I488" t="s">
        <v>50</v>
      </c>
      <c r="J488" t="str">
        <f>IFERROR(_xlfn.XLOOKUP(Table1[[#This Row],[sales_channel]],Table4[Original],Table4[Clean],,0,1),"Unknown")</f>
        <v>Mobile</v>
      </c>
      <c r="K488" t="s">
        <v>102</v>
      </c>
      <c r="L488" t="str">
        <f>IFERROR(_xlfn.XLOOKUP(Table1[[#This Row],[product]],Table3[Original],Table3[Product_clean],,0,1),"Unknown")</f>
        <v>Phone</v>
      </c>
      <c r="M488" s="6">
        <v>3</v>
      </c>
      <c r="N488">
        <f>IF(ISNUMBER(Table1[[#This Row],[quantity]]),Table1[[#This Row],[quantity]],IFERROR(VLOOKUP(Table1[[#This Row],[quantity]],Table5[#All],2,FALSE),"Unknown"))</f>
        <v>3</v>
      </c>
      <c r="O488">
        <v>424.12</v>
      </c>
      <c r="P488">
        <f>IFERROR(VALUE(SUBSTITUTE(SUBSTITUTE(SUBSTITUTE(Table1[[#This Row],[revenue]],"EUR",""),"$",""),".",",")),"")</f>
        <v>424.12</v>
      </c>
      <c r="Q488" t="s">
        <v>17</v>
      </c>
      <c r="R488" t="str">
        <f>IF(OR(Table1[[#This Row],[currency]]="EUR",Table1[[#This Row],[currency]]="€"),"EUR",IF(OR(Table1[[#This Row],[currency]]="USD",Table1[[#This Row],[currency]]="$"),"USD","Unknown"))</f>
        <v>EUR</v>
      </c>
      <c r="T488" t="str">
        <f>IFERROR(_xlfn.XLOOKUP(Table1[[#This Row],[order_status]],Table8[Original],Table8[Clean],,0,1),"Unknown")</f>
        <v>Unknown</v>
      </c>
      <c r="U488">
        <v>1</v>
      </c>
      <c r="V488">
        <f>IF(ISNUMBER(Table1[[#This Row],[delivery_days]]),Table1[[#This Row],[delivery_days]],IFERROR(_xlfn.XLOOKUP(Table1[[#This Row],[delivery_days]],Table57[Original],Table57[Clean],,0,1),"Unknown"))</f>
        <v>1</v>
      </c>
      <c r="W488" t="s">
        <v>37</v>
      </c>
    </row>
    <row r="489" spans="1:23" x14ac:dyDescent="0.3">
      <c r="A489" t="s">
        <v>1126</v>
      </c>
      <c r="B489" t="str">
        <f>IF(ISBLANK(Table1[[#This Row],[order_id]]),"",IF(LEFT(Table1[[#This Row],[order_id]],3)="ORD",Table1[[#This Row],[order_id]],"ORD-" &amp; Table1[[#This Row],[order_id]]))</f>
        <v>ORD-1487</v>
      </c>
      <c r="C489" t="s">
        <v>1127</v>
      </c>
      <c r="D489" s="1">
        <f>IFERROR(DATEVALUE(Table1[[#This Row],[order_date]]),"")</f>
        <v>45594</v>
      </c>
      <c r="E489" t="s">
        <v>1128</v>
      </c>
      <c r="F489" t="str">
        <f>IF(ISBLANK(Table1[[#This Row],[customer_name]]),"Unknown Customer",PROPER(SUBSTITUTE(Table1[[#This Row],[customer_name]],"Cust.","Customer")))</f>
        <v>Customer 487</v>
      </c>
      <c r="H489" t="str">
        <f>IFERROR(_xlfn.XLOOKUP(Table1[[#This Row],[region]],Mappings!$C$3:$C$8,Mappings!$D$3:$D$8,,0,1),"Unknown")</f>
        <v>Unknown</v>
      </c>
      <c r="J489" t="str">
        <f>IFERROR(_xlfn.XLOOKUP(Table1[[#This Row],[sales_channel]],Table4[Original],Table4[Clean],,0,1),"Unknown")</f>
        <v>Unknown</v>
      </c>
      <c r="K489" t="s">
        <v>28</v>
      </c>
      <c r="L489" t="str">
        <f>IFERROR(_xlfn.XLOOKUP(Table1[[#This Row],[product]],Table3[Original],Table3[Product_clean],,0,1),"Unknown")</f>
        <v>Laptop</v>
      </c>
      <c r="M489" s="6" t="s">
        <v>83</v>
      </c>
      <c r="N489">
        <f>IF(ISNUMBER(Table1[[#This Row],[quantity]]),Table1[[#This Row],[quantity]],IFERROR(VLOOKUP(Table1[[#This Row],[quantity]],Table5[#All],2,FALSE),"Unknown"))</f>
        <v>2</v>
      </c>
      <c r="P489" t="str">
        <f>IFERROR(VALUE(SUBSTITUTE(SUBSTITUTE(SUBSTITUTE(Table1[[#This Row],[revenue]],"EUR",""),"$",""),".",",")),"")</f>
        <v/>
      </c>
      <c r="Q489" t="s">
        <v>58</v>
      </c>
      <c r="R489" t="str">
        <f>IF(OR(Table1[[#This Row],[currency]]="EUR",Table1[[#This Row],[currency]]="€"),"EUR",IF(OR(Table1[[#This Row],[currency]]="USD",Table1[[#This Row],[currency]]="$"),"USD","Unknown"))</f>
        <v>USD</v>
      </c>
      <c r="S489" t="s">
        <v>18</v>
      </c>
      <c r="T489" t="str">
        <f>IFERROR(_xlfn.XLOOKUP(Table1[[#This Row],[order_status]],Table8[Original],Table8[Clean],,0,1),"Unknown")</f>
        <v>Pending</v>
      </c>
      <c r="U489">
        <v>1</v>
      </c>
      <c r="V489">
        <f>IF(ISNUMBER(Table1[[#This Row],[delivery_days]]),Table1[[#This Row],[delivery_days]],IFERROR(_xlfn.XLOOKUP(Table1[[#This Row],[delivery_days]],Table57[Original],Table57[Clean],,0,1),"Unknown"))</f>
        <v>1</v>
      </c>
      <c r="W489" t="s">
        <v>24</v>
      </c>
    </row>
    <row r="490" spans="1:23" x14ac:dyDescent="0.3">
      <c r="A490" t="s">
        <v>1129</v>
      </c>
      <c r="B490" t="str">
        <f>IF(ISBLANK(Table1[[#This Row],[order_id]]),"",IF(LEFT(Table1[[#This Row],[order_id]],3)="ORD",Table1[[#This Row],[order_id]],"ORD-" &amp; Table1[[#This Row],[order_id]]))</f>
        <v>ORD-1488</v>
      </c>
      <c r="D490" s="1" t="str">
        <f>IFERROR(DATEVALUE(Table1[[#This Row],[order_date]]),"")</f>
        <v/>
      </c>
      <c r="F490" t="str">
        <f>IF(ISBLANK(Table1[[#This Row],[customer_name]]),"Unknown Customer",PROPER(SUBSTITUTE(Table1[[#This Row],[customer_name]],"Cust.","Customer")))</f>
        <v>Unknown Customer</v>
      </c>
      <c r="G490" t="s">
        <v>54</v>
      </c>
      <c r="H490" t="str">
        <f>IFERROR(_xlfn.XLOOKUP(Table1[[#This Row],[region]],Mappings!$C$3:$C$8,Mappings!$D$3:$D$8,,0,1),"Unknown")</f>
        <v>USA</v>
      </c>
      <c r="J490" t="str">
        <f>IFERROR(_xlfn.XLOOKUP(Table1[[#This Row],[sales_channel]],Table4[Original],Table4[Clean],,0,1),"Unknown")</f>
        <v>Unknown</v>
      </c>
      <c r="K490" t="s">
        <v>41</v>
      </c>
      <c r="L490" t="str">
        <f>IFERROR(_xlfn.XLOOKUP(Table1[[#This Row],[product]],Table3[Original],Table3[Product_clean],,0,1),"Unknown")</f>
        <v>Phone</v>
      </c>
      <c r="M490" s="6">
        <v>2</v>
      </c>
      <c r="N490">
        <f>IF(ISNUMBER(Table1[[#This Row],[quantity]]),Table1[[#This Row],[quantity]],IFERROR(VLOOKUP(Table1[[#This Row],[quantity]],Table5[#All],2,FALSE),"Unknown"))</f>
        <v>2</v>
      </c>
      <c r="O490" t="s">
        <v>1130</v>
      </c>
      <c r="P490">
        <f>IFERROR(VALUE(SUBSTITUTE(SUBSTITUTE(SUBSTITUTE(Table1[[#This Row],[revenue]],"EUR",""),"$",""),".",",")),"")</f>
        <v>2903.67</v>
      </c>
      <c r="Q490" t="s">
        <v>58</v>
      </c>
      <c r="R490" t="str">
        <f>IF(OR(Table1[[#This Row],[currency]]="EUR",Table1[[#This Row],[currency]]="€"),"EUR",IF(OR(Table1[[#This Row],[currency]]="USD",Table1[[#This Row],[currency]]="$"),"USD","Unknown"))</f>
        <v>USD</v>
      </c>
      <c r="S490" t="s">
        <v>18</v>
      </c>
      <c r="T490" t="str">
        <f>IFERROR(_xlfn.XLOOKUP(Table1[[#This Row],[order_status]],Table8[Original],Table8[Clean],,0,1),"Unknown")</f>
        <v>Pending</v>
      </c>
      <c r="V490" t="str">
        <f>IF(ISNUMBER(Table1[[#This Row],[delivery_days]]),Table1[[#This Row],[delivery_days]],IFERROR(_xlfn.XLOOKUP(Table1[[#This Row],[delivery_days]],Table57[Original],Table57[Clean],,0,1),"Unknown"))</f>
        <v>Unknown</v>
      </c>
      <c r="W490" t="s">
        <v>24</v>
      </c>
    </row>
    <row r="491" spans="1:23" x14ac:dyDescent="0.3">
      <c r="A491">
        <v>1489</v>
      </c>
      <c r="B491" t="str">
        <f>IF(ISBLANK(Table1[[#This Row],[order_id]]),"",IF(LEFT(Table1[[#This Row],[order_id]],3)="ORD",Table1[[#This Row],[order_id]],"ORD-" &amp; Table1[[#This Row],[order_id]]))</f>
        <v>ORD-1489</v>
      </c>
      <c r="C491" t="s">
        <v>1131</v>
      </c>
      <c r="D491" s="1">
        <f>IFERROR(DATEVALUE(Table1[[#This Row],[order_date]]),"")</f>
        <v>45319</v>
      </c>
      <c r="F491" t="str">
        <f>IF(ISBLANK(Table1[[#This Row],[customer_name]]),"Unknown Customer",PROPER(SUBSTITUTE(Table1[[#This Row],[customer_name]],"Cust.","Customer")))</f>
        <v>Unknown Customer</v>
      </c>
      <c r="G491" t="s">
        <v>32</v>
      </c>
      <c r="H491" t="str">
        <f>IFERROR(_xlfn.XLOOKUP(Table1[[#This Row],[region]],Mappings!$C$3:$C$8,Mappings!$D$3:$D$8,,0,1),"Unknown")</f>
        <v>Europe</v>
      </c>
      <c r="I491" t="s">
        <v>78</v>
      </c>
      <c r="J491" t="str">
        <f>IFERROR(_xlfn.XLOOKUP(Table1[[#This Row],[sales_channel]],Table4[Original],Table4[Clean],,0,1),"Unknown")</f>
        <v>Mobile</v>
      </c>
      <c r="K491" t="s">
        <v>102</v>
      </c>
      <c r="L491" t="str">
        <f>IFERROR(_xlfn.XLOOKUP(Table1[[#This Row],[product]],Table3[Original],Table3[Product_clean],,0,1),"Unknown")</f>
        <v>Phone</v>
      </c>
      <c r="M491" s="6" t="s">
        <v>83</v>
      </c>
      <c r="N491">
        <f>IF(ISNUMBER(Table1[[#This Row],[quantity]]),Table1[[#This Row],[quantity]],IFERROR(VLOOKUP(Table1[[#This Row],[quantity]],Table5[#All],2,FALSE),"Unknown"))</f>
        <v>2</v>
      </c>
      <c r="O491">
        <v>1944.67</v>
      </c>
      <c r="P491">
        <f>IFERROR(VALUE(SUBSTITUTE(SUBSTITUTE(SUBSTITUTE(Table1[[#This Row],[revenue]],"EUR",""),"$",""),".",",")),"")</f>
        <v>1944.67</v>
      </c>
      <c r="R491" t="str">
        <f>IF(OR(Table1[[#This Row],[currency]]="EUR",Table1[[#This Row],[currency]]="€"),"EUR",IF(OR(Table1[[#This Row],[currency]]="USD",Table1[[#This Row],[currency]]="$"),"USD","Unknown"))</f>
        <v>Unknown</v>
      </c>
      <c r="S491" t="s">
        <v>23</v>
      </c>
      <c r="T491" t="str">
        <f>IFERROR(_xlfn.XLOOKUP(Table1[[#This Row],[order_status]],Table8[Original],Table8[Clean],,0,1),"Unknown")</f>
        <v>Delivered</v>
      </c>
      <c r="U491">
        <v>5</v>
      </c>
      <c r="V491">
        <f>IF(ISNUMBER(Table1[[#This Row],[delivery_days]]),Table1[[#This Row],[delivery_days]],IFERROR(_xlfn.XLOOKUP(Table1[[#This Row],[delivery_days]],Table57[Original],Table57[Clean],,0,1),"Unknown"))</f>
        <v>5</v>
      </c>
    </row>
    <row r="492" spans="1:23" x14ac:dyDescent="0.3">
      <c r="A492">
        <v>1490</v>
      </c>
      <c r="B492" t="str">
        <f>IF(ISBLANK(Table1[[#This Row],[order_id]]),"",IF(LEFT(Table1[[#This Row],[order_id]],3)="ORD",Table1[[#This Row],[order_id]],"ORD-" &amp; Table1[[#This Row],[order_id]]))</f>
        <v>ORD-1490</v>
      </c>
      <c r="C492" t="s">
        <v>1132</v>
      </c>
      <c r="D492" s="1" t="str">
        <f>IFERROR(DATEVALUE(Table1[[#This Row],[order_date]]),"")</f>
        <v/>
      </c>
      <c r="F492" t="str">
        <f>IF(ISBLANK(Table1[[#This Row],[customer_name]]),"Unknown Customer",PROPER(SUBSTITUTE(Table1[[#This Row],[customer_name]],"Cust.","Customer")))</f>
        <v>Unknown Customer</v>
      </c>
      <c r="G492" t="s">
        <v>32</v>
      </c>
      <c r="H492" t="str">
        <f>IFERROR(_xlfn.XLOOKUP(Table1[[#This Row],[region]],Mappings!$C$3:$C$8,Mappings!$D$3:$D$8,,0,1),"Unknown")</f>
        <v>Europe</v>
      </c>
      <c r="J492" t="str">
        <f>IFERROR(_xlfn.XLOOKUP(Table1[[#This Row],[sales_channel]],Table4[Original],Table4[Clean],,0,1),"Unknown")</f>
        <v>Unknown</v>
      </c>
      <c r="K492" t="s">
        <v>102</v>
      </c>
      <c r="L492" t="str">
        <f>IFERROR(_xlfn.XLOOKUP(Table1[[#This Row],[product]],Table3[Original],Table3[Product_clean],,0,1),"Unknown")</f>
        <v>Phone</v>
      </c>
      <c r="M492" s="6"/>
      <c r="N492" t="str">
        <f>IF(ISNUMBER(Table1[[#This Row],[quantity]]),Table1[[#This Row],[quantity]],IFERROR(VLOOKUP(Table1[[#This Row],[quantity]],Table5[#All],2,FALSE),"Unknown"))</f>
        <v>Unknown</v>
      </c>
      <c r="P492" t="str">
        <f>IFERROR(VALUE(SUBSTITUTE(SUBSTITUTE(SUBSTITUTE(Table1[[#This Row],[revenue]],"EUR",""),"$",""),".",",")),"")</f>
        <v/>
      </c>
      <c r="Q492" t="s">
        <v>17</v>
      </c>
      <c r="R492" t="str">
        <f>IF(OR(Table1[[#This Row],[currency]]="EUR",Table1[[#This Row],[currency]]="€"),"EUR",IF(OR(Table1[[#This Row],[currency]]="USD",Table1[[#This Row],[currency]]="$"),"USD","Unknown"))</f>
        <v>EUR</v>
      </c>
      <c r="S492" t="s">
        <v>30</v>
      </c>
      <c r="T492" t="str">
        <f>IFERROR(_xlfn.XLOOKUP(Table1[[#This Row],[order_status]],Table8[Original],Table8[Clean],,0,1),"Unknown")</f>
        <v>Delivered</v>
      </c>
      <c r="U492" t="s">
        <v>36</v>
      </c>
      <c r="V492">
        <f>IF(ISNUMBER(Table1[[#This Row],[delivery_days]]),Table1[[#This Row],[delivery_days]],IFERROR(_xlfn.XLOOKUP(Table1[[#This Row],[delivery_days]],Table57[Original],Table57[Clean],,0,1),"Unknown"))</f>
        <v>5</v>
      </c>
      <c r="W492" t="s">
        <v>24</v>
      </c>
    </row>
    <row r="493" spans="1:23" x14ac:dyDescent="0.3">
      <c r="A493" t="s">
        <v>1133</v>
      </c>
      <c r="B493" t="str">
        <f>IF(ISBLANK(Table1[[#This Row],[order_id]]),"",IF(LEFT(Table1[[#This Row],[order_id]],3)="ORD",Table1[[#This Row],[order_id]],"ORD-" &amp; Table1[[#This Row],[order_id]]))</f>
        <v>ORD-1491</v>
      </c>
      <c r="C493" t="s">
        <v>484</v>
      </c>
      <c r="D493" s="1">
        <f>IFERROR(DATEVALUE(Table1[[#This Row],[order_date]]),"")</f>
        <v>45543</v>
      </c>
      <c r="E493" t="s">
        <v>1134</v>
      </c>
      <c r="F493" t="str">
        <f>IF(ISBLANK(Table1[[#This Row],[customer_name]]),"Unknown Customer",PROPER(SUBSTITUTE(Table1[[#This Row],[customer_name]],"Cust.","Customer")))</f>
        <v>Customer 491</v>
      </c>
      <c r="H493" t="str">
        <f>IFERROR(_xlfn.XLOOKUP(Table1[[#This Row],[region]],Mappings!$C$3:$C$8,Mappings!$D$3:$D$8,,0,1),"Unknown")</f>
        <v>Unknown</v>
      </c>
      <c r="I493" t="s">
        <v>14</v>
      </c>
      <c r="J493" t="str">
        <f>IFERROR(_xlfn.XLOOKUP(Table1[[#This Row],[sales_channel]],Table4[Original],Table4[Clean],,0,1),"Unknown")</f>
        <v>Online</v>
      </c>
      <c r="K493" t="s">
        <v>102</v>
      </c>
      <c r="L493" t="str">
        <f>IFERROR(_xlfn.XLOOKUP(Table1[[#This Row],[product]],Table3[Original],Table3[Product_clean],,0,1),"Unknown")</f>
        <v>Phone</v>
      </c>
      <c r="M493" s="6"/>
      <c r="N493" t="str">
        <f>IF(ISNUMBER(Table1[[#This Row],[quantity]]),Table1[[#This Row],[quantity]],IFERROR(VLOOKUP(Table1[[#This Row],[quantity]],Table5[#All],2,FALSE),"Unknown"))</f>
        <v>Unknown</v>
      </c>
      <c r="O493" t="s">
        <v>1135</v>
      </c>
      <c r="P493">
        <f>IFERROR(VALUE(SUBSTITUTE(SUBSTITUTE(SUBSTITUTE(Table1[[#This Row],[revenue]],"EUR",""),"$",""),".",",")),"")</f>
        <v>1850.93</v>
      </c>
      <c r="Q493" t="s">
        <v>22</v>
      </c>
      <c r="R493" t="str">
        <f>IF(OR(Table1[[#This Row],[currency]]="EUR",Table1[[#This Row],[currency]]="€"),"EUR",IF(OR(Table1[[#This Row],[currency]]="USD",Table1[[#This Row],[currency]]="$"),"USD","Unknown"))</f>
        <v>USD</v>
      </c>
      <c r="S493" t="s">
        <v>47</v>
      </c>
      <c r="T493" t="str">
        <f>IFERROR(_xlfn.XLOOKUP(Table1[[#This Row],[order_status]],Table8[Original],Table8[Clean],,0,1),"Unknown")</f>
        <v>Returned</v>
      </c>
      <c r="V493" t="str">
        <f>IF(ISNUMBER(Table1[[#This Row],[delivery_days]]),Table1[[#This Row],[delivery_days]],IFERROR(_xlfn.XLOOKUP(Table1[[#This Row],[delivery_days]],Table57[Original],Table57[Clean],,0,1),"Unknown"))</f>
        <v>Unknown</v>
      </c>
      <c r="W493" t="s">
        <v>37</v>
      </c>
    </row>
    <row r="494" spans="1:23" x14ac:dyDescent="0.3">
      <c r="B494" t="str">
        <f>IF(ISBLANK(Table1[[#This Row],[order_id]]),"",IF(LEFT(Table1[[#This Row],[order_id]],3)="ORD",Table1[[#This Row],[order_id]],"ORD-" &amp; Table1[[#This Row],[order_id]]))</f>
        <v/>
      </c>
      <c r="C494" t="s">
        <v>1136</v>
      </c>
      <c r="D494" s="1">
        <f>IFERROR(DATEVALUE(Table1[[#This Row],[order_date]]),"")</f>
        <v>45931</v>
      </c>
      <c r="E494" t="s">
        <v>1137</v>
      </c>
      <c r="F494" t="str">
        <f>IF(ISBLANK(Table1[[#This Row],[customer_name]]),"Unknown Customer",PROPER(SUBSTITUTE(Table1[[#This Row],[customer_name]],"Cust.","Customer")))</f>
        <v>Customer 492</v>
      </c>
      <c r="G494" t="s">
        <v>26</v>
      </c>
      <c r="H494" t="str">
        <f>IFERROR(_xlfn.XLOOKUP(Table1[[#This Row],[region]],Mappings!$C$3:$C$8,Mappings!$D$3:$D$8,,0,1),"Unknown")</f>
        <v>Asia</v>
      </c>
      <c r="I494" t="s">
        <v>68</v>
      </c>
      <c r="J494" t="str">
        <f>IFERROR(_xlfn.XLOOKUP(Table1[[#This Row],[sales_channel]],Table4[Original],Table4[Clean],,0,1),"Unknown")</f>
        <v>Online</v>
      </c>
      <c r="K494" t="s">
        <v>51</v>
      </c>
      <c r="L494" t="str">
        <f>IFERROR(_xlfn.XLOOKUP(Table1[[#This Row],[product]],Table3[Original],Table3[Product_clean],,0,1),"Unknown")</f>
        <v>Laptop</v>
      </c>
      <c r="M494" s="6">
        <v>1</v>
      </c>
      <c r="N494">
        <f>IF(ISNUMBER(Table1[[#This Row],[quantity]]),Table1[[#This Row],[quantity]],IFERROR(VLOOKUP(Table1[[#This Row],[quantity]],Table5[#All],2,FALSE),"Unknown"))</f>
        <v>1</v>
      </c>
      <c r="O494" t="s">
        <v>1138</v>
      </c>
      <c r="P494">
        <f>IFERROR(VALUE(SUBSTITUTE(SUBSTITUTE(SUBSTITUTE(Table1[[#This Row],[revenue]],"EUR",""),"$",""),".",",")),"")</f>
        <v>2032.08</v>
      </c>
      <c r="Q494" t="s">
        <v>17</v>
      </c>
      <c r="R494" t="str">
        <f>IF(OR(Table1[[#This Row],[currency]]="EUR",Table1[[#This Row],[currency]]="€"),"EUR",IF(OR(Table1[[#This Row],[currency]]="USD",Table1[[#This Row],[currency]]="$"),"USD","Unknown"))</f>
        <v>EUR</v>
      </c>
      <c r="S494" t="s">
        <v>30</v>
      </c>
      <c r="T494" t="str">
        <f>IFERROR(_xlfn.XLOOKUP(Table1[[#This Row],[order_status]],Table8[Original],Table8[Clean],,0,1),"Unknown")</f>
        <v>Delivered</v>
      </c>
      <c r="U494">
        <v>5</v>
      </c>
      <c r="V494">
        <f>IF(ISNUMBER(Table1[[#This Row],[delivery_days]]),Table1[[#This Row],[delivery_days]],IFERROR(_xlfn.XLOOKUP(Table1[[#This Row],[delivery_days]],Table57[Original],Table57[Clean],,0,1),"Unknown"))</f>
        <v>5</v>
      </c>
    </row>
    <row r="495" spans="1:23" x14ac:dyDescent="0.3">
      <c r="A495" t="s">
        <v>1139</v>
      </c>
      <c r="B495" t="str">
        <f>IF(ISBLANK(Table1[[#This Row],[order_id]]),"",IF(LEFT(Table1[[#This Row],[order_id]],3)="ORD",Table1[[#This Row],[order_id]],"ORD-" &amp; Table1[[#This Row],[order_id]]))</f>
        <v>ORD-1493</v>
      </c>
      <c r="C495" t="s">
        <v>390</v>
      </c>
      <c r="D495" s="1">
        <f>IFERROR(DATEVALUE(Table1[[#This Row],[order_date]]),"")</f>
        <v>45560</v>
      </c>
      <c r="E495" t="s">
        <v>1140</v>
      </c>
      <c r="F495" t="str">
        <f>IF(ISBLANK(Table1[[#This Row],[customer_name]]),"Unknown Customer",PROPER(SUBSTITUTE(Table1[[#This Row],[customer_name]],"Cust.","Customer")))</f>
        <v>Customer 493</v>
      </c>
      <c r="G495" t="s">
        <v>26</v>
      </c>
      <c r="H495" t="str">
        <f>IFERROR(_xlfn.XLOOKUP(Table1[[#This Row],[region]],Mappings!$C$3:$C$8,Mappings!$D$3:$D$8,,0,1),"Unknown")</f>
        <v>Asia</v>
      </c>
      <c r="I495" t="s">
        <v>27</v>
      </c>
      <c r="J495" t="str">
        <f>IFERROR(_xlfn.XLOOKUP(Table1[[#This Row],[sales_channel]],Table4[Original],Table4[Clean],,0,1),"Unknown")</f>
        <v>Online</v>
      </c>
      <c r="K495" t="s">
        <v>51</v>
      </c>
      <c r="L495" t="str">
        <f>IFERROR(_xlfn.XLOOKUP(Table1[[#This Row],[product]],Table3[Original],Table3[Product_clean],,0,1),"Unknown")</f>
        <v>Laptop</v>
      </c>
      <c r="M495" s="6">
        <v>1</v>
      </c>
      <c r="N495">
        <f>IF(ISNUMBER(Table1[[#This Row],[quantity]]),Table1[[#This Row],[quantity]],IFERROR(VLOOKUP(Table1[[#This Row],[quantity]],Table5[#All],2,FALSE),"Unknown"))</f>
        <v>1</v>
      </c>
      <c r="P495" t="str">
        <f>IFERROR(VALUE(SUBSTITUTE(SUBSTITUTE(SUBSTITUTE(Table1[[#This Row],[revenue]],"EUR",""),"$",""),".",",")),"")</f>
        <v/>
      </c>
      <c r="R495" t="str">
        <f>IF(OR(Table1[[#This Row],[currency]]="EUR",Table1[[#This Row],[currency]]="€"),"EUR",IF(OR(Table1[[#This Row],[currency]]="USD",Table1[[#This Row],[currency]]="$"),"USD","Unknown"))</f>
        <v>Unknown</v>
      </c>
      <c r="S495" t="s">
        <v>30</v>
      </c>
      <c r="T495" t="str">
        <f>IFERROR(_xlfn.XLOOKUP(Table1[[#This Row],[order_status]],Table8[Original],Table8[Clean],,0,1),"Unknown")</f>
        <v>Delivered</v>
      </c>
      <c r="U495">
        <v>1</v>
      </c>
      <c r="V495">
        <f>IF(ISNUMBER(Table1[[#This Row],[delivery_days]]),Table1[[#This Row],[delivery_days]],IFERROR(_xlfn.XLOOKUP(Table1[[#This Row],[delivery_days]],Table57[Original],Table57[Clean],,0,1),"Unknown"))</f>
        <v>1</v>
      </c>
      <c r="W495" t="s">
        <v>37</v>
      </c>
    </row>
    <row r="496" spans="1:23" x14ac:dyDescent="0.3">
      <c r="A496">
        <v>1494</v>
      </c>
      <c r="B496" t="str">
        <f>IF(ISBLANK(Table1[[#This Row],[order_id]]),"",IF(LEFT(Table1[[#This Row],[order_id]],3)="ORD",Table1[[#This Row],[order_id]],"ORD-" &amp; Table1[[#This Row],[order_id]]))</f>
        <v>ORD-1494</v>
      </c>
      <c r="C496" t="s">
        <v>1141</v>
      </c>
      <c r="D496" s="1">
        <f>IFERROR(DATEVALUE(Table1[[#This Row],[order_date]]),"")</f>
        <v>45598</v>
      </c>
      <c r="F496" t="str">
        <f>IF(ISBLANK(Table1[[#This Row],[customer_name]]),"Unknown Customer",PROPER(SUBSTITUTE(Table1[[#This Row],[customer_name]],"Cust.","Customer")))</f>
        <v>Unknown Customer</v>
      </c>
      <c r="H496" t="str">
        <f>IFERROR(_xlfn.XLOOKUP(Table1[[#This Row],[region]],Mappings!$C$3:$C$8,Mappings!$D$3:$D$8,,0,1),"Unknown")</f>
        <v>Unknown</v>
      </c>
      <c r="J496" t="str">
        <f>IFERROR(_xlfn.XLOOKUP(Table1[[#This Row],[sales_channel]],Table4[Original],Table4[Clean],,0,1),"Unknown")</f>
        <v>Unknown</v>
      </c>
      <c r="K496" t="s">
        <v>33</v>
      </c>
      <c r="L496" t="str">
        <f>IFERROR(_xlfn.XLOOKUP(Table1[[#This Row],[product]],Table3[Original],Table3[Product_clean],,0,1),"Unknown")</f>
        <v>Tablet</v>
      </c>
      <c r="M496" s="6">
        <v>2</v>
      </c>
      <c r="N496">
        <f>IF(ISNUMBER(Table1[[#This Row],[quantity]]),Table1[[#This Row],[quantity]],IFERROR(VLOOKUP(Table1[[#This Row],[quantity]],Table5[#All],2,FALSE),"Unknown"))</f>
        <v>2</v>
      </c>
      <c r="O496">
        <v>1932.34</v>
      </c>
      <c r="P496">
        <f>IFERROR(VALUE(SUBSTITUTE(SUBSTITUTE(SUBSTITUTE(Table1[[#This Row],[revenue]],"EUR",""),"$",""),".",",")),"")</f>
        <v>1932.34</v>
      </c>
      <c r="Q496" t="s">
        <v>17</v>
      </c>
      <c r="R496" t="str">
        <f>IF(OR(Table1[[#This Row],[currency]]="EUR",Table1[[#This Row],[currency]]="€"),"EUR",IF(OR(Table1[[#This Row],[currency]]="USD",Table1[[#This Row],[currency]]="$"),"USD","Unknown"))</f>
        <v>EUR</v>
      </c>
      <c r="T496" t="str">
        <f>IFERROR(_xlfn.XLOOKUP(Table1[[#This Row],[order_status]],Table8[Original],Table8[Clean],,0,1),"Unknown")</f>
        <v>Unknown</v>
      </c>
      <c r="U496">
        <v>2</v>
      </c>
      <c r="V496">
        <f>IF(ISNUMBER(Table1[[#This Row],[delivery_days]]),Table1[[#This Row],[delivery_days]],IFERROR(_xlfn.XLOOKUP(Table1[[#This Row],[delivery_days]],Table57[Original],Table57[Clean],,0,1),"Unknown"))</f>
        <v>2</v>
      </c>
      <c r="W496" t="s">
        <v>24</v>
      </c>
    </row>
    <row r="497" spans="1:23" x14ac:dyDescent="0.3">
      <c r="B497" t="str">
        <f>IF(ISBLANK(Table1[[#This Row],[order_id]]),"",IF(LEFT(Table1[[#This Row],[order_id]],3)="ORD",Table1[[#This Row],[order_id]],"ORD-" &amp; Table1[[#This Row],[order_id]]))</f>
        <v/>
      </c>
      <c r="D497" s="1" t="str">
        <f>IFERROR(DATEVALUE(Table1[[#This Row],[order_date]]),"")</f>
        <v/>
      </c>
      <c r="E497" t="s">
        <v>1142</v>
      </c>
      <c r="F497" t="str">
        <f>IF(ISBLANK(Table1[[#This Row],[customer_name]]),"Unknown Customer",PROPER(SUBSTITUTE(Table1[[#This Row],[customer_name]],"Cust.","Customer")))</f>
        <v>Customer 495</v>
      </c>
      <c r="H497" t="str">
        <f>IFERROR(_xlfn.XLOOKUP(Table1[[#This Row],[region]],Mappings!$C$3:$C$8,Mappings!$D$3:$D$8,,0,1),"Unknown")</f>
        <v>Unknown</v>
      </c>
      <c r="I497" t="s">
        <v>78</v>
      </c>
      <c r="J497" t="str">
        <f>IFERROR(_xlfn.XLOOKUP(Table1[[#This Row],[sales_channel]],Table4[Original],Table4[Clean],,0,1),"Unknown")</f>
        <v>Mobile</v>
      </c>
      <c r="K497" t="s">
        <v>15</v>
      </c>
      <c r="L497" t="str">
        <f>IFERROR(_xlfn.XLOOKUP(Table1[[#This Row],[product]],Table3[Original],Table3[Product_clean],,0,1),"Unknown")</f>
        <v>Tablet</v>
      </c>
      <c r="M497" s="6">
        <v>3</v>
      </c>
      <c r="N497">
        <f>IF(ISNUMBER(Table1[[#This Row],[quantity]]),Table1[[#This Row],[quantity]],IFERROR(VLOOKUP(Table1[[#This Row],[quantity]],Table5[#All],2,FALSE),"Unknown"))</f>
        <v>3</v>
      </c>
      <c r="O497">
        <v>1427.52</v>
      </c>
      <c r="P497">
        <f>IFERROR(VALUE(SUBSTITUTE(SUBSTITUTE(SUBSTITUTE(Table1[[#This Row],[revenue]],"EUR",""),"$",""),".",",")),"")</f>
        <v>1427.52</v>
      </c>
      <c r="Q497" t="s">
        <v>55</v>
      </c>
      <c r="R497" t="str">
        <f>IF(OR(Table1[[#This Row],[currency]]="EUR",Table1[[#This Row],[currency]]="€"),"EUR",IF(OR(Table1[[#This Row],[currency]]="USD",Table1[[#This Row],[currency]]="$"),"USD","Unknown"))</f>
        <v>EUR</v>
      </c>
      <c r="S497" t="s">
        <v>23</v>
      </c>
      <c r="T497" t="str">
        <f>IFERROR(_xlfn.XLOOKUP(Table1[[#This Row],[order_status]],Table8[Original],Table8[Clean],,0,1),"Unknown")</f>
        <v>Delivered</v>
      </c>
      <c r="U497">
        <v>1</v>
      </c>
      <c r="V497">
        <f>IF(ISNUMBER(Table1[[#This Row],[delivery_days]]),Table1[[#This Row],[delivery_days]],IFERROR(_xlfn.XLOOKUP(Table1[[#This Row],[delivery_days]],Table57[Original],Table57[Clean],,0,1),"Unknown"))</f>
        <v>1</v>
      </c>
      <c r="W497" t="s">
        <v>24</v>
      </c>
    </row>
    <row r="498" spans="1:23" x14ac:dyDescent="0.3">
      <c r="A498" t="s">
        <v>1143</v>
      </c>
      <c r="B498" t="str">
        <f>IF(ISBLANK(Table1[[#This Row],[order_id]]),"",IF(LEFT(Table1[[#This Row],[order_id]],3)="ORD",Table1[[#This Row],[order_id]],"ORD-" &amp; Table1[[#This Row],[order_id]]))</f>
        <v>ORD-1496</v>
      </c>
      <c r="C498" t="s">
        <v>951</v>
      </c>
      <c r="D498" s="1">
        <f>IFERROR(DATEVALUE(Table1[[#This Row],[order_date]]),"")</f>
        <v>45689</v>
      </c>
      <c r="E498" t="s">
        <v>1144</v>
      </c>
      <c r="F498" t="str">
        <f>IF(ISBLANK(Table1[[#This Row],[customer_name]]),"Unknown Customer",PROPER(SUBSTITUTE(Table1[[#This Row],[customer_name]],"Cust.","Customer")))</f>
        <v>Customer 496</v>
      </c>
      <c r="H498" t="str">
        <f>IFERROR(_xlfn.XLOOKUP(Table1[[#This Row],[region]],Mappings!$C$3:$C$8,Mappings!$D$3:$D$8,,0,1),"Unknown")</f>
        <v>Unknown</v>
      </c>
      <c r="I498" t="s">
        <v>50</v>
      </c>
      <c r="J498" t="str">
        <f>IFERROR(_xlfn.XLOOKUP(Table1[[#This Row],[sales_channel]],Table4[Original],Table4[Clean],,0,1),"Unknown")</f>
        <v>Mobile</v>
      </c>
      <c r="K498" t="s">
        <v>28</v>
      </c>
      <c r="L498" t="str">
        <f>IFERROR(_xlfn.XLOOKUP(Table1[[#This Row],[product]],Table3[Original],Table3[Product_clean],,0,1),"Unknown")</f>
        <v>Laptop</v>
      </c>
      <c r="M498" s="6" t="s">
        <v>83</v>
      </c>
      <c r="N498">
        <f>IF(ISNUMBER(Table1[[#This Row],[quantity]]),Table1[[#This Row],[quantity]],IFERROR(VLOOKUP(Table1[[#This Row],[quantity]],Table5[#All],2,FALSE),"Unknown"))</f>
        <v>2</v>
      </c>
      <c r="P498" t="str">
        <f>IFERROR(VALUE(SUBSTITUTE(SUBSTITUTE(SUBSTITUTE(Table1[[#This Row],[revenue]],"EUR",""),"$",""),".",",")),"")</f>
        <v/>
      </c>
      <c r="Q498" t="s">
        <v>17</v>
      </c>
      <c r="R498" t="str">
        <f>IF(OR(Table1[[#This Row],[currency]]="EUR",Table1[[#This Row],[currency]]="€"),"EUR",IF(OR(Table1[[#This Row],[currency]]="USD",Table1[[#This Row],[currency]]="$"),"USD","Unknown"))</f>
        <v>EUR</v>
      </c>
      <c r="S498" t="s">
        <v>47</v>
      </c>
      <c r="T498" t="str">
        <f>IFERROR(_xlfn.XLOOKUP(Table1[[#This Row],[order_status]],Table8[Original],Table8[Clean],,0,1),"Unknown")</f>
        <v>Returned</v>
      </c>
      <c r="U498">
        <v>2</v>
      </c>
      <c r="V498">
        <f>IF(ISNUMBER(Table1[[#This Row],[delivery_days]]),Table1[[#This Row],[delivery_days]],IFERROR(_xlfn.XLOOKUP(Table1[[#This Row],[delivery_days]],Table57[Original],Table57[Clean],,0,1),"Unknown"))</f>
        <v>2</v>
      </c>
    </row>
    <row r="499" spans="1:23" x14ac:dyDescent="0.3">
      <c r="A499">
        <v>1497</v>
      </c>
      <c r="B499" t="str">
        <f>IF(ISBLANK(Table1[[#This Row],[order_id]]),"",IF(LEFT(Table1[[#This Row],[order_id]],3)="ORD",Table1[[#This Row],[order_id]],"ORD-" &amp; Table1[[#This Row],[order_id]]))</f>
        <v>ORD-1497</v>
      </c>
      <c r="D499" s="1" t="str">
        <f>IFERROR(DATEVALUE(Table1[[#This Row],[order_date]]),"")</f>
        <v/>
      </c>
      <c r="E499" t="s">
        <v>1145</v>
      </c>
      <c r="F499" t="str">
        <f>IF(ISBLANK(Table1[[#This Row],[customer_name]]),"Unknown Customer",PROPER(SUBSTITUTE(Table1[[#This Row],[customer_name]],"Cust.","Customer")))</f>
        <v>Customer 497</v>
      </c>
      <c r="G499" t="s">
        <v>45</v>
      </c>
      <c r="H499" t="str">
        <f>IFERROR(_xlfn.XLOOKUP(Table1[[#This Row],[region]],Mappings!$C$3:$C$8,Mappings!$D$3:$D$8,,0,1),"Unknown")</f>
        <v>USA</v>
      </c>
      <c r="J499" t="str">
        <f>IFERROR(_xlfn.XLOOKUP(Table1[[#This Row],[sales_channel]],Table4[Original],Table4[Clean],,0,1),"Unknown")</f>
        <v>Unknown</v>
      </c>
      <c r="K499" t="s">
        <v>51</v>
      </c>
      <c r="L499" t="str">
        <f>IFERROR(_xlfn.XLOOKUP(Table1[[#This Row],[product]],Table3[Original],Table3[Product_clean],,0,1),"Unknown")</f>
        <v>Laptop</v>
      </c>
      <c r="M499" s="6" t="s">
        <v>83</v>
      </c>
      <c r="N499">
        <f>IF(ISNUMBER(Table1[[#This Row],[quantity]]),Table1[[#This Row],[quantity]],IFERROR(VLOOKUP(Table1[[#This Row],[quantity]],Table5[#All],2,FALSE),"Unknown"))</f>
        <v>2</v>
      </c>
      <c r="O499">
        <v>1954.18</v>
      </c>
      <c r="P499">
        <f>IFERROR(VALUE(SUBSTITUTE(SUBSTITUTE(SUBSTITUTE(Table1[[#This Row],[revenue]],"EUR",""),"$",""),".",",")),"")</f>
        <v>1954.18</v>
      </c>
      <c r="Q499" t="s">
        <v>55</v>
      </c>
      <c r="R499" t="str">
        <f>IF(OR(Table1[[#This Row],[currency]]="EUR",Table1[[#This Row],[currency]]="€"),"EUR",IF(OR(Table1[[#This Row],[currency]]="USD",Table1[[#This Row],[currency]]="$"),"USD","Unknown"))</f>
        <v>EUR</v>
      </c>
      <c r="S499" t="s">
        <v>30</v>
      </c>
      <c r="T499" t="str">
        <f>IFERROR(_xlfn.XLOOKUP(Table1[[#This Row],[order_status]],Table8[Original],Table8[Clean],,0,1),"Unknown")</f>
        <v>Delivered</v>
      </c>
      <c r="U499">
        <v>1</v>
      </c>
      <c r="V499">
        <f>IF(ISNUMBER(Table1[[#This Row],[delivery_days]]),Table1[[#This Row],[delivery_days]],IFERROR(_xlfn.XLOOKUP(Table1[[#This Row],[delivery_days]],Table57[Original],Table57[Clean],,0,1),"Unknown"))</f>
        <v>1</v>
      </c>
    </row>
    <row r="500" spans="1:23" x14ac:dyDescent="0.3">
      <c r="A500" t="s">
        <v>1146</v>
      </c>
      <c r="B500" t="str">
        <f>IF(ISBLANK(Table1[[#This Row],[order_id]]),"",IF(LEFT(Table1[[#This Row],[order_id]],3)="ORD",Table1[[#This Row],[order_id]],"ORD-" &amp; Table1[[#This Row],[order_id]]))</f>
        <v>ORD-1498</v>
      </c>
      <c r="C500" t="s">
        <v>1147</v>
      </c>
      <c r="D500" s="1">
        <f>IFERROR(DATEVALUE(Table1[[#This Row],[order_date]]),"")</f>
        <v>45328</v>
      </c>
      <c r="F500" t="str">
        <f>IF(ISBLANK(Table1[[#This Row],[customer_name]]),"Unknown Customer",PROPER(SUBSTITUTE(Table1[[#This Row],[customer_name]],"Cust.","Customer")))</f>
        <v>Unknown Customer</v>
      </c>
      <c r="G500" t="s">
        <v>54</v>
      </c>
      <c r="H500" t="str">
        <f>IFERROR(_xlfn.XLOOKUP(Table1[[#This Row],[region]],Mappings!$C$3:$C$8,Mappings!$D$3:$D$8,,0,1),"Unknown")</f>
        <v>USA</v>
      </c>
      <c r="J500" t="str">
        <f>IFERROR(_xlfn.XLOOKUP(Table1[[#This Row],[sales_channel]],Table4[Original],Table4[Clean],,0,1),"Unknown")</f>
        <v>Unknown</v>
      </c>
      <c r="K500" t="s">
        <v>15</v>
      </c>
      <c r="L500" t="str">
        <f>IFERROR(_xlfn.XLOOKUP(Table1[[#This Row],[product]],Table3[Original],Table3[Product_clean],,0,1),"Unknown")</f>
        <v>Tablet</v>
      </c>
      <c r="M500" s="6">
        <v>1</v>
      </c>
      <c r="N500">
        <f>IF(ISNUMBER(Table1[[#This Row],[quantity]]),Table1[[#This Row],[quantity]],IFERROR(VLOOKUP(Table1[[#This Row],[quantity]],Table5[#All],2,FALSE),"Unknown"))</f>
        <v>1</v>
      </c>
      <c r="O500" t="s">
        <v>1148</v>
      </c>
      <c r="P500">
        <f>IFERROR(VALUE(SUBSTITUTE(SUBSTITUTE(SUBSTITUTE(Table1[[#This Row],[revenue]],"EUR",""),"$",""),".",",")),"")</f>
        <v>1735.47</v>
      </c>
      <c r="Q500" t="s">
        <v>17</v>
      </c>
      <c r="R500" t="str">
        <f>IF(OR(Table1[[#This Row],[currency]]="EUR",Table1[[#This Row],[currency]]="€"),"EUR",IF(OR(Table1[[#This Row],[currency]]="USD",Table1[[#This Row],[currency]]="$"),"USD","Unknown"))</f>
        <v>EUR</v>
      </c>
      <c r="T500" t="str">
        <f>IFERROR(_xlfn.XLOOKUP(Table1[[#This Row],[order_status]],Table8[Original],Table8[Clean],,0,1),"Unknown")</f>
        <v>Unknown</v>
      </c>
      <c r="U500">
        <v>5</v>
      </c>
      <c r="V500">
        <f>IF(ISNUMBER(Table1[[#This Row],[delivery_days]]),Table1[[#This Row],[delivery_days]],IFERROR(_xlfn.XLOOKUP(Table1[[#This Row],[delivery_days]],Table57[Original],Table57[Clean],,0,1),"Unknown"))</f>
        <v>5</v>
      </c>
      <c r="W500" t="s">
        <v>24</v>
      </c>
    </row>
    <row r="501" spans="1:23" x14ac:dyDescent="0.3">
      <c r="B501" t="str">
        <f>IF(ISBLANK(Table1[[#This Row],[order_id]]),"",IF(LEFT(Table1[[#This Row],[order_id]],3)="ORD",Table1[[#This Row],[order_id]],"ORD-" &amp; Table1[[#This Row],[order_id]]))</f>
        <v/>
      </c>
      <c r="C501" t="s">
        <v>1149</v>
      </c>
      <c r="D501" s="1">
        <f>IFERROR(DATEVALUE(Table1[[#This Row],[order_date]]),"")</f>
        <v>45369</v>
      </c>
      <c r="F501" t="str">
        <f>IF(ISBLANK(Table1[[#This Row],[customer_name]]),"Unknown Customer",PROPER(SUBSTITUTE(Table1[[#This Row],[customer_name]],"Cust.","Customer")))</f>
        <v>Unknown Customer</v>
      </c>
      <c r="G501" t="s">
        <v>32</v>
      </c>
      <c r="H501" t="str">
        <f>IFERROR(_xlfn.XLOOKUP(Table1[[#This Row],[region]],Mappings!$C$3:$C$8,Mappings!$D$3:$D$8,,0,1),"Unknown")</f>
        <v>Europe</v>
      </c>
      <c r="I501" t="s">
        <v>78</v>
      </c>
      <c r="J501" t="str">
        <f>IFERROR(_xlfn.XLOOKUP(Table1[[#This Row],[sales_channel]],Table4[Original],Table4[Clean],,0,1),"Unknown")</f>
        <v>Mobile</v>
      </c>
      <c r="K501" t="s">
        <v>41</v>
      </c>
      <c r="L501" t="str">
        <f>IFERROR(_xlfn.XLOOKUP(Table1[[#This Row],[product]],Table3[Original],Table3[Product_clean],,0,1),"Unknown")</f>
        <v>Phone</v>
      </c>
      <c r="M501" s="6">
        <v>1</v>
      </c>
      <c r="N501">
        <f>IF(ISNUMBER(Table1[[#This Row],[quantity]]),Table1[[#This Row],[quantity]],IFERROR(VLOOKUP(Table1[[#This Row],[quantity]],Table5[#All],2,FALSE),"Unknown"))</f>
        <v>1</v>
      </c>
      <c r="P501" t="str">
        <f>IFERROR(VALUE(SUBSTITUTE(SUBSTITUTE(SUBSTITUTE(Table1[[#This Row],[revenue]],"EUR",""),"$",""),".",",")),"")</f>
        <v/>
      </c>
      <c r="R501" t="str">
        <f>IF(OR(Table1[[#This Row],[currency]]="EUR",Table1[[#This Row],[currency]]="€"),"EUR",IF(OR(Table1[[#This Row],[currency]]="USD",Table1[[#This Row],[currency]]="$"),"USD","Unknown"))</f>
        <v>Unknown</v>
      </c>
      <c r="S501" t="s">
        <v>23</v>
      </c>
      <c r="T501" t="str">
        <f>IFERROR(_xlfn.XLOOKUP(Table1[[#This Row],[order_status]],Table8[Original],Table8[Clean],,0,1),"Unknown")</f>
        <v>Delivered</v>
      </c>
      <c r="U501">
        <v>1</v>
      </c>
      <c r="V501">
        <f>IF(ISNUMBER(Table1[[#This Row],[delivery_days]]),Table1[[#This Row],[delivery_days]],IFERROR(_xlfn.XLOOKUP(Table1[[#This Row],[delivery_days]],Table57[Original],Table57[Clean],,0,1),"Unknown"))</f>
        <v>1</v>
      </c>
    </row>
    <row r="502" spans="1:23" x14ac:dyDescent="0.3">
      <c r="A502">
        <v>1500</v>
      </c>
      <c r="B502" t="str">
        <f>IF(ISBLANK(Table1[[#This Row],[order_id]]),"",IF(LEFT(Table1[[#This Row],[order_id]],3)="ORD",Table1[[#This Row],[order_id]],"ORD-" &amp; Table1[[#This Row],[order_id]]))</f>
        <v>ORD-1500</v>
      </c>
      <c r="C502" t="s">
        <v>1150</v>
      </c>
      <c r="D502" s="1" t="str">
        <f>IFERROR(DATEVALUE(Table1[[#This Row],[order_date]]),"")</f>
        <v/>
      </c>
      <c r="E502" t="s">
        <v>1151</v>
      </c>
      <c r="F502" t="str">
        <f>IF(ISBLANK(Table1[[#This Row],[customer_name]]),"Unknown Customer",PROPER(SUBSTITUTE(Table1[[#This Row],[customer_name]],"Cust.","Customer")))</f>
        <v>Customer 500</v>
      </c>
      <c r="H502" t="str">
        <f>IFERROR(_xlfn.XLOOKUP(Table1[[#This Row],[region]],Mappings!$C$3:$C$8,Mappings!$D$3:$D$8,,0,1),"Unknown")</f>
        <v>Unknown</v>
      </c>
      <c r="I502" t="s">
        <v>50</v>
      </c>
      <c r="J502" t="str">
        <f>IFERROR(_xlfn.XLOOKUP(Table1[[#This Row],[sales_channel]],Table4[Original],Table4[Clean],,0,1),"Unknown")</f>
        <v>Mobile</v>
      </c>
      <c r="K502" t="s">
        <v>41</v>
      </c>
      <c r="L502" t="str">
        <f>IFERROR(_xlfn.XLOOKUP(Table1[[#This Row],[product]],Table3[Original],Table3[Product_clean],,0,1),"Unknown")</f>
        <v>Phone</v>
      </c>
      <c r="M502" s="6">
        <v>1</v>
      </c>
      <c r="N502">
        <f>IF(ISNUMBER(Table1[[#This Row],[quantity]]),Table1[[#This Row],[quantity]],IFERROR(VLOOKUP(Table1[[#This Row],[quantity]],Table5[#All],2,FALSE),"Unknown"))</f>
        <v>1</v>
      </c>
      <c r="P502" t="str">
        <f>IFERROR(VALUE(SUBSTITUTE(SUBSTITUTE(SUBSTITUTE(Table1[[#This Row],[revenue]],"EUR",""),"$",""),".",",")),"")</f>
        <v/>
      </c>
      <c r="Q502" t="s">
        <v>17</v>
      </c>
      <c r="R502" t="str">
        <f>IF(OR(Table1[[#This Row],[currency]]="EUR",Table1[[#This Row],[currency]]="€"),"EUR",IF(OR(Table1[[#This Row],[currency]]="USD",Table1[[#This Row],[currency]]="$"),"USD","Unknown"))</f>
        <v>EUR</v>
      </c>
      <c r="S502" t="s">
        <v>35</v>
      </c>
      <c r="T502" t="str">
        <f>IFERROR(_xlfn.XLOOKUP(Table1[[#This Row],[order_status]],Table8[Original],Table8[Clean],,0,1),"Unknown")</f>
        <v>Returned</v>
      </c>
      <c r="U502" t="s">
        <v>36</v>
      </c>
      <c r="V502">
        <f>IF(ISNUMBER(Table1[[#This Row],[delivery_days]]),Table1[[#This Row],[delivery_days]],IFERROR(_xlfn.XLOOKUP(Table1[[#This Row],[delivery_days]],Table57[Original],Table57[Clean],,0,1),"Unknown"))</f>
        <v>5</v>
      </c>
      <c r="W502" t="s">
        <v>24</v>
      </c>
    </row>
    <row r="503" spans="1:23" x14ac:dyDescent="0.3">
      <c r="B503" t="str">
        <f>IF(ISBLANK(Table1[[#This Row],[order_id]]),"",IF(LEFT(Table1[[#This Row],[order_id]],3)="ORD",Table1[[#This Row],[order_id]],"ORD-" &amp; Table1[[#This Row],[order_id]]))</f>
        <v/>
      </c>
      <c r="C503" t="s">
        <v>1152</v>
      </c>
      <c r="D503" s="1">
        <f>IFERROR(DATEVALUE(Table1[[#This Row],[order_date]]),"")</f>
        <v>45333</v>
      </c>
      <c r="E503" t="s">
        <v>1153</v>
      </c>
      <c r="F503" t="str">
        <f>IF(ISBLANK(Table1[[#This Row],[customer_name]]),"Unknown Customer",PROPER(SUBSTITUTE(Table1[[#This Row],[customer_name]],"Cust.","Customer")))</f>
        <v>Customer 501</v>
      </c>
      <c r="G503" t="s">
        <v>45</v>
      </c>
      <c r="H503" t="str">
        <f>IFERROR(_xlfn.XLOOKUP(Table1[[#This Row],[region]],Mappings!$C$3:$C$8,Mappings!$D$3:$D$8,,0,1),"Unknown")</f>
        <v>USA</v>
      </c>
      <c r="I503" t="s">
        <v>14</v>
      </c>
      <c r="J503" t="str">
        <f>IFERROR(_xlfn.XLOOKUP(Table1[[#This Row],[sales_channel]],Table4[Original],Table4[Clean],,0,1),"Unknown")</f>
        <v>Online</v>
      </c>
      <c r="K503" t="s">
        <v>41</v>
      </c>
      <c r="L503" t="str">
        <f>IFERROR(_xlfn.XLOOKUP(Table1[[#This Row],[product]],Table3[Original],Table3[Product_clean],,0,1),"Unknown")</f>
        <v>Phone</v>
      </c>
      <c r="M503" s="6">
        <v>2</v>
      </c>
      <c r="N503">
        <f>IF(ISNUMBER(Table1[[#This Row],[quantity]]),Table1[[#This Row],[quantity]],IFERROR(VLOOKUP(Table1[[#This Row],[quantity]],Table5[#All],2,FALSE),"Unknown"))</f>
        <v>2</v>
      </c>
      <c r="O503" t="s">
        <v>1154</v>
      </c>
      <c r="P503">
        <f>IFERROR(VALUE(SUBSTITUTE(SUBSTITUTE(SUBSTITUTE(Table1[[#This Row],[revenue]],"EUR",""),"$",""),".",",")),"")</f>
        <v>2531.4899999999998</v>
      </c>
      <c r="Q503" t="s">
        <v>55</v>
      </c>
      <c r="R503" t="str">
        <f>IF(OR(Table1[[#This Row],[currency]]="EUR",Table1[[#This Row],[currency]]="€"),"EUR",IF(OR(Table1[[#This Row],[currency]]="USD",Table1[[#This Row],[currency]]="$"),"USD","Unknown"))</f>
        <v>EUR</v>
      </c>
      <c r="T503" t="str">
        <f>IFERROR(_xlfn.XLOOKUP(Table1[[#This Row],[order_status]],Table8[Original],Table8[Clean],,0,1),"Unknown")</f>
        <v>Unknown</v>
      </c>
      <c r="U503">
        <v>5</v>
      </c>
      <c r="V503">
        <f>IF(ISNUMBER(Table1[[#This Row],[delivery_days]]),Table1[[#This Row],[delivery_days]],IFERROR(_xlfn.XLOOKUP(Table1[[#This Row],[delivery_days]],Table57[Original],Table57[Clean],,0,1),"Unknown"))</f>
        <v>5</v>
      </c>
    </row>
    <row r="504" spans="1:23" x14ac:dyDescent="0.3">
      <c r="A504">
        <v>1502</v>
      </c>
      <c r="B504" t="str">
        <f>IF(ISBLANK(Table1[[#This Row],[order_id]]),"",IF(LEFT(Table1[[#This Row],[order_id]],3)="ORD",Table1[[#This Row],[order_id]],"ORD-" &amp; Table1[[#This Row],[order_id]]))</f>
        <v>ORD-1502</v>
      </c>
      <c r="D504" s="1" t="str">
        <f>IFERROR(DATEVALUE(Table1[[#This Row],[order_date]]),"")</f>
        <v/>
      </c>
      <c r="E504" t="s">
        <v>1155</v>
      </c>
      <c r="F504" t="str">
        <f>IF(ISBLANK(Table1[[#This Row],[customer_name]]),"Unknown Customer",PROPER(SUBSTITUTE(Table1[[#This Row],[customer_name]],"Cust.","Customer")))</f>
        <v>Customer 502</v>
      </c>
      <c r="G504" t="s">
        <v>54</v>
      </c>
      <c r="H504" t="str">
        <f>IFERROR(_xlfn.XLOOKUP(Table1[[#This Row],[region]],Mappings!$C$3:$C$8,Mappings!$D$3:$D$8,,0,1),"Unknown")</f>
        <v>USA</v>
      </c>
      <c r="I504" t="s">
        <v>14</v>
      </c>
      <c r="J504" t="str">
        <f>IFERROR(_xlfn.XLOOKUP(Table1[[#This Row],[sales_channel]],Table4[Original],Table4[Clean],,0,1),"Unknown")</f>
        <v>Online</v>
      </c>
      <c r="K504" t="s">
        <v>28</v>
      </c>
      <c r="L504" t="str">
        <f>IFERROR(_xlfn.XLOOKUP(Table1[[#This Row],[product]],Table3[Original],Table3[Product_clean],,0,1),"Unknown")</f>
        <v>Laptop</v>
      </c>
      <c r="M504" s="6">
        <v>1</v>
      </c>
      <c r="N504">
        <f>IF(ISNUMBER(Table1[[#This Row],[quantity]]),Table1[[#This Row],[quantity]],IFERROR(VLOOKUP(Table1[[#This Row],[quantity]],Table5[#All],2,FALSE),"Unknown"))</f>
        <v>1</v>
      </c>
      <c r="P504" t="str">
        <f>IFERROR(VALUE(SUBSTITUTE(SUBSTITUTE(SUBSTITUTE(Table1[[#This Row],[revenue]],"EUR",""),"$",""),".",",")),"")</f>
        <v/>
      </c>
      <c r="R504" t="str">
        <f>IF(OR(Table1[[#This Row],[currency]]="EUR",Table1[[#This Row],[currency]]="€"),"EUR",IF(OR(Table1[[#This Row],[currency]]="USD",Table1[[#This Row],[currency]]="$"),"USD","Unknown"))</f>
        <v>Unknown</v>
      </c>
      <c r="S504" t="s">
        <v>23</v>
      </c>
      <c r="T504" t="str">
        <f>IFERROR(_xlfn.XLOOKUP(Table1[[#This Row],[order_status]],Table8[Original],Table8[Clean],,0,1),"Unknown")</f>
        <v>Delivered</v>
      </c>
      <c r="U504">
        <v>5</v>
      </c>
      <c r="V504">
        <f>IF(ISNUMBER(Table1[[#This Row],[delivery_days]]),Table1[[#This Row],[delivery_days]],IFERROR(_xlfn.XLOOKUP(Table1[[#This Row],[delivery_days]],Table57[Original],Table57[Clean],,0,1),"Unknown"))</f>
        <v>5</v>
      </c>
    </row>
    <row r="505" spans="1:23" x14ac:dyDescent="0.3">
      <c r="A505" t="s">
        <v>1156</v>
      </c>
      <c r="B505" t="str">
        <f>IF(ISBLANK(Table1[[#This Row],[order_id]]),"",IF(LEFT(Table1[[#This Row],[order_id]],3)="ORD",Table1[[#This Row],[order_id]],"ORD-" &amp; Table1[[#This Row],[order_id]]))</f>
        <v>ORD-1503</v>
      </c>
      <c r="D505" s="1" t="str">
        <f>IFERROR(DATEVALUE(Table1[[#This Row],[order_date]]),"")</f>
        <v/>
      </c>
      <c r="E505" t="s">
        <v>1157</v>
      </c>
      <c r="F505" t="str">
        <f>IF(ISBLANK(Table1[[#This Row],[customer_name]]),"Unknown Customer",PROPER(SUBSTITUTE(Table1[[#This Row],[customer_name]],"Cust.","Customer")))</f>
        <v>Customer 503</v>
      </c>
      <c r="G505" t="s">
        <v>73</v>
      </c>
      <c r="H505" t="str">
        <f>IFERROR(_xlfn.XLOOKUP(Table1[[#This Row],[region]],Mappings!$C$3:$C$8,Mappings!$D$3:$D$8,,0,1),"Unknown")</f>
        <v>Europe</v>
      </c>
      <c r="I505" t="s">
        <v>50</v>
      </c>
      <c r="J505" t="str">
        <f>IFERROR(_xlfn.XLOOKUP(Table1[[#This Row],[sales_channel]],Table4[Original],Table4[Clean],,0,1),"Unknown")</f>
        <v>Mobile</v>
      </c>
      <c r="K505" t="s">
        <v>51</v>
      </c>
      <c r="L505" t="str">
        <f>IFERROR(_xlfn.XLOOKUP(Table1[[#This Row],[product]],Table3[Original],Table3[Product_clean],,0,1),"Unknown")</f>
        <v>Laptop</v>
      </c>
      <c r="M505" s="6">
        <v>3</v>
      </c>
      <c r="N505">
        <f>IF(ISNUMBER(Table1[[#This Row],[quantity]]),Table1[[#This Row],[quantity]],IFERROR(VLOOKUP(Table1[[#This Row],[quantity]],Table5[#All],2,FALSE),"Unknown"))</f>
        <v>3</v>
      </c>
      <c r="O505" t="s">
        <v>1158</v>
      </c>
      <c r="P505">
        <f>IFERROR(VALUE(SUBSTITUTE(SUBSTITUTE(SUBSTITUTE(Table1[[#This Row],[revenue]],"EUR",""),"$",""),".",",")),"")</f>
        <v>2388.58</v>
      </c>
      <c r="Q505" t="s">
        <v>17</v>
      </c>
      <c r="R505" t="str">
        <f>IF(OR(Table1[[#This Row],[currency]]="EUR",Table1[[#This Row],[currency]]="€"),"EUR",IF(OR(Table1[[#This Row],[currency]]="USD",Table1[[#This Row],[currency]]="$"),"USD","Unknown"))</f>
        <v>EUR</v>
      </c>
      <c r="S505" t="s">
        <v>47</v>
      </c>
      <c r="T505" t="str">
        <f>IFERROR(_xlfn.XLOOKUP(Table1[[#This Row],[order_status]],Table8[Original],Table8[Clean],,0,1),"Unknown")</f>
        <v>Returned</v>
      </c>
      <c r="U505">
        <v>1</v>
      </c>
      <c r="V505">
        <f>IF(ISNUMBER(Table1[[#This Row],[delivery_days]]),Table1[[#This Row],[delivery_days]],IFERROR(_xlfn.XLOOKUP(Table1[[#This Row],[delivery_days]],Table57[Original],Table57[Clean],,0,1),"Unknown"))</f>
        <v>1</v>
      </c>
      <c r="W505" t="s">
        <v>37</v>
      </c>
    </row>
    <row r="506" spans="1:23" x14ac:dyDescent="0.3">
      <c r="B506" t="str">
        <f>IF(ISBLANK(Table1[[#This Row],[order_id]]),"",IF(LEFT(Table1[[#This Row],[order_id]],3)="ORD",Table1[[#This Row],[order_id]],"ORD-" &amp; Table1[[#This Row],[order_id]]))</f>
        <v/>
      </c>
      <c r="C506" t="s">
        <v>1159</v>
      </c>
      <c r="D506" s="1">
        <f>IFERROR(DATEVALUE(Table1[[#This Row],[order_date]]),"")</f>
        <v>45705</v>
      </c>
      <c r="E506" t="s">
        <v>1160</v>
      </c>
      <c r="F506" t="str">
        <f>IF(ISBLANK(Table1[[#This Row],[customer_name]]),"Unknown Customer",PROPER(SUBSTITUTE(Table1[[#This Row],[customer_name]],"Cust.","Customer")))</f>
        <v>Customer 504</v>
      </c>
      <c r="G506" t="s">
        <v>73</v>
      </c>
      <c r="H506" t="str">
        <f>IFERROR(_xlfn.XLOOKUP(Table1[[#This Row],[region]],Mappings!$C$3:$C$8,Mappings!$D$3:$D$8,,0,1),"Unknown")</f>
        <v>Europe</v>
      </c>
      <c r="I506" t="s">
        <v>14</v>
      </c>
      <c r="J506" t="str">
        <f>IFERROR(_xlfn.XLOOKUP(Table1[[#This Row],[sales_channel]],Table4[Original],Table4[Clean],,0,1),"Unknown")</f>
        <v>Online</v>
      </c>
      <c r="K506" t="s">
        <v>15</v>
      </c>
      <c r="L506" t="str">
        <f>IFERROR(_xlfn.XLOOKUP(Table1[[#This Row],[product]],Table3[Original],Table3[Product_clean],,0,1),"Unknown")</f>
        <v>Tablet</v>
      </c>
      <c r="M506" s="6">
        <v>2</v>
      </c>
      <c r="N506">
        <f>IF(ISNUMBER(Table1[[#This Row],[quantity]]),Table1[[#This Row],[quantity]],IFERROR(VLOOKUP(Table1[[#This Row],[quantity]],Table5[#All],2,FALSE),"Unknown"))</f>
        <v>2</v>
      </c>
      <c r="P506" t="str">
        <f>IFERROR(VALUE(SUBSTITUTE(SUBSTITUTE(SUBSTITUTE(Table1[[#This Row],[revenue]],"EUR",""),"$",""),".",",")),"")</f>
        <v/>
      </c>
      <c r="Q506" t="s">
        <v>22</v>
      </c>
      <c r="R506" t="str">
        <f>IF(OR(Table1[[#This Row],[currency]]="EUR",Table1[[#This Row],[currency]]="€"),"EUR",IF(OR(Table1[[#This Row],[currency]]="USD",Table1[[#This Row],[currency]]="$"),"USD","Unknown"))</f>
        <v>USD</v>
      </c>
      <c r="T506" t="str">
        <f>IFERROR(_xlfn.XLOOKUP(Table1[[#This Row],[order_status]],Table8[Original],Table8[Clean],,0,1),"Unknown")</f>
        <v>Unknown</v>
      </c>
      <c r="U506">
        <v>1</v>
      </c>
      <c r="V506">
        <f>IF(ISNUMBER(Table1[[#This Row],[delivery_days]]),Table1[[#This Row],[delivery_days]],IFERROR(_xlfn.XLOOKUP(Table1[[#This Row],[delivery_days]],Table57[Original],Table57[Clean],,0,1),"Unknown"))</f>
        <v>1</v>
      </c>
    </row>
    <row r="507" spans="1:23" x14ac:dyDescent="0.3">
      <c r="A507">
        <v>1505</v>
      </c>
      <c r="B507" t="str">
        <f>IF(ISBLANK(Table1[[#This Row],[order_id]]),"",IF(LEFT(Table1[[#This Row],[order_id]],3)="ORD",Table1[[#This Row],[order_id]],"ORD-" &amp; Table1[[#This Row],[order_id]]))</f>
        <v>ORD-1505</v>
      </c>
      <c r="C507" t="s">
        <v>1161</v>
      </c>
      <c r="D507" s="1">
        <f>IFERROR(DATEVALUE(Table1[[#This Row],[order_date]]),"")</f>
        <v>45608</v>
      </c>
      <c r="E507" t="s">
        <v>1162</v>
      </c>
      <c r="F507" t="str">
        <f>IF(ISBLANK(Table1[[#This Row],[customer_name]]),"Unknown Customer",PROPER(SUBSTITUTE(Table1[[#This Row],[customer_name]],"Cust.","Customer")))</f>
        <v>Customer 505</v>
      </c>
      <c r="G507" t="s">
        <v>26</v>
      </c>
      <c r="H507" t="str">
        <f>IFERROR(_xlfn.XLOOKUP(Table1[[#This Row],[region]],Mappings!$C$3:$C$8,Mappings!$D$3:$D$8,,0,1),"Unknown")</f>
        <v>Asia</v>
      </c>
      <c r="I507" t="s">
        <v>14</v>
      </c>
      <c r="J507" t="str">
        <f>IFERROR(_xlfn.XLOOKUP(Table1[[#This Row],[sales_channel]],Table4[Original],Table4[Clean],,0,1),"Unknown")</f>
        <v>Online</v>
      </c>
      <c r="K507" t="s">
        <v>41</v>
      </c>
      <c r="L507" t="str">
        <f>IFERROR(_xlfn.XLOOKUP(Table1[[#This Row],[product]],Table3[Original],Table3[Product_clean],,0,1),"Unknown")</f>
        <v>Phone</v>
      </c>
      <c r="M507" s="6"/>
      <c r="N507" t="str">
        <f>IF(ISNUMBER(Table1[[#This Row],[quantity]]),Table1[[#This Row],[quantity]],IFERROR(VLOOKUP(Table1[[#This Row],[quantity]],Table5[#All],2,FALSE),"Unknown"))</f>
        <v>Unknown</v>
      </c>
      <c r="O507" t="s">
        <v>1163</v>
      </c>
      <c r="P507">
        <f>IFERROR(VALUE(SUBSTITUTE(SUBSTITUTE(SUBSTITUTE(Table1[[#This Row],[revenue]],"EUR",""),"$",""),".",",")),"")</f>
        <v>185.11</v>
      </c>
      <c r="Q507" t="s">
        <v>58</v>
      </c>
      <c r="R507" t="str">
        <f>IF(OR(Table1[[#This Row],[currency]]="EUR",Table1[[#This Row],[currency]]="€"),"EUR",IF(OR(Table1[[#This Row],[currency]]="USD",Table1[[#This Row],[currency]]="$"),"USD","Unknown"))</f>
        <v>USD</v>
      </c>
      <c r="S507" t="s">
        <v>18</v>
      </c>
      <c r="T507" t="str">
        <f>IFERROR(_xlfn.XLOOKUP(Table1[[#This Row],[order_status]],Table8[Original],Table8[Clean],,0,1),"Unknown")</f>
        <v>Pending</v>
      </c>
      <c r="U507">
        <v>1</v>
      </c>
      <c r="V507">
        <f>IF(ISNUMBER(Table1[[#This Row],[delivery_days]]),Table1[[#This Row],[delivery_days]],IFERROR(_xlfn.XLOOKUP(Table1[[#This Row],[delivery_days]],Table57[Original],Table57[Clean],,0,1),"Unknown"))</f>
        <v>1</v>
      </c>
    </row>
    <row r="508" spans="1:23" x14ac:dyDescent="0.3">
      <c r="A508">
        <v>1506</v>
      </c>
      <c r="B508" t="str">
        <f>IF(ISBLANK(Table1[[#This Row],[order_id]]),"",IF(LEFT(Table1[[#This Row],[order_id]],3)="ORD",Table1[[#This Row],[order_id]],"ORD-" &amp; Table1[[#This Row],[order_id]]))</f>
        <v>ORD-1506</v>
      </c>
      <c r="C508" t="s">
        <v>784</v>
      </c>
      <c r="D508" s="1">
        <f>IFERROR(DATEVALUE(Table1[[#This Row],[order_date]]),"")</f>
        <v>45350</v>
      </c>
      <c r="F508" t="str">
        <f>IF(ISBLANK(Table1[[#This Row],[customer_name]]),"Unknown Customer",PROPER(SUBSTITUTE(Table1[[#This Row],[customer_name]],"Cust.","Customer")))</f>
        <v>Unknown Customer</v>
      </c>
      <c r="G508" t="s">
        <v>26</v>
      </c>
      <c r="H508" t="str">
        <f>IFERROR(_xlfn.XLOOKUP(Table1[[#This Row],[region]],Mappings!$C$3:$C$8,Mappings!$D$3:$D$8,,0,1),"Unknown")</f>
        <v>Asia</v>
      </c>
      <c r="J508" t="str">
        <f>IFERROR(_xlfn.XLOOKUP(Table1[[#This Row],[sales_channel]],Table4[Original],Table4[Clean],,0,1),"Unknown")</f>
        <v>Unknown</v>
      </c>
      <c r="K508" t="s">
        <v>15</v>
      </c>
      <c r="L508" t="str">
        <f>IFERROR(_xlfn.XLOOKUP(Table1[[#This Row],[product]],Table3[Original],Table3[Product_clean],,0,1),"Unknown")</f>
        <v>Tablet</v>
      </c>
      <c r="M508" s="6" t="s">
        <v>83</v>
      </c>
      <c r="N508">
        <f>IF(ISNUMBER(Table1[[#This Row],[quantity]]),Table1[[#This Row],[quantity]],IFERROR(VLOOKUP(Table1[[#This Row],[quantity]],Table5[#All],2,FALSE),"Unknown"))</f>
        <v>2</v>
      </c>
      <c r="O508" t="s">
        <v>1164</v>
      </c>
      <c r="P508">
        <f>IFERROR(VALUE(SUBSTITUTE(SUBSTITUTE(SUBSTITUTE(Table1[[#This Row],[revenue]],"EUR",""),"$",""),".",",")),"")</f>
        <v>1516.57</v>
      </c>
      <c r="Q508" t="s">
        <v>55</v>
      </c>
      <c r="R508" t="str">
        <f>IF(OR(Table1[[#This Row],[currency]]="EUR",Table1[[#This Row],[currency]]="€"),"EUR",IF(OR(Table1[[#This Row],[currency]]="USD",Table1[[#This Row],[currency]]="$"),"USD","Unknown"))</f>
        <v>EUR</v>
      </c>
      <c r="S508" t="s">
        <v>30</v>
      </c>
      <c r="T508" t="str">
        <f>IFERROR(_xlfn.XLOOKUP(Table1[[#This Row],[order_status]],Table8[Original],Table8[Clean],,0,1),"Unknown")</f>
        <v>Delivered</v>
      </c>
      <c r="V508" t="str">
        <f>IF(ISNUMBER(Table1[[#This Row],[delivery_days]]),Table1[[#This Row],[delivery_days]],IFERROR(_xlfn.XLOOKUP(Table1[[#This Row],[delivery_days]],Table57[Original],Table57[Clean],,0,1),"Unknown"))</f>
        <v>Unknown</v>
      </c>
      <c r="W508" t="s">
        <v>37</v>
      </c>
    </row>
    <row r="509" spans="1:23" x14ac:dyDescent="0.3">
      <c r="A509">
        <v>1507</v>
      </c>
      <c r="B509" t="str">
        <f>IF(ISBLANK(Table1[[#This Row],[order_id]]),"",IF(LEFT(Table1[[#This Row],[order_id]],3)="ORD",Table1[[#This Row],[order_id]],"ORD-" &amp; Table1[[#This Row],[order_id]]))</f>
        <v>ORD-1507</v>
      </c>
      <c r="C509" t="s">
        <v>1165</v>
      </c>
      <c r="D509" s="1">
        <f>IFERROR(DATEVALUE(Table1[[#This Row],[order_date]]),"")</f>
        <v>45456</v>
      </c>
      <c r="E509" t="s">
        <v>1166</v>
      </c>
      <c r="F509" t="str">
        <f>IF(ISBLANK(Table1[[#This Row],[customer_name]]),"Unknown Customer",PROPER(SUBSTITUTE(Table1[[#This Row],[customer_name]],"Cust.","Customer")))</f>
        <v>Customer 507</v>
      </c>
      <c r="G509" t="s">
        <v>73</v>
      </c>
      <c r="H509" t="str">
        <f>IFERROR(_xlfn.XLOOKUP(Table1[[#This Row],[region]],Mappings!$C$3:$C$8,Mappings!$D$3:$D$8,,0,1),"Unknown")</f>
        <v>Europe</v>
      </c>
      <c r="I509" t="s">
        <v>14</v>
      </c>
      <c r="J509" t="str">
        <f>IFERROR(_xlfn.XLOOKUP(Table1[[#This Row],[sales_channel]],Table4[Original],Table4[Clean],,0,1),"Unknown")</f>
        <v>Online</v>
      </c>
      <c r="K509" t="s">
        <v>102</v>
      </c>
      <c r="L509" t="str">
        <f>IFERROR(_xlfn.XLOOKUP(Table1[[#This Row],[product]],Table3[Original],Table3[Product_clean],,0,1),"Unknown")</f>
        <v>Phone</v>
      </c>
      <c r="M509" s="6">
        <v>2</v>
      </c>
      <c r="N509">
        <f>IF(ISNUMBER(Table1[[#This Row],[quantity]]),Table1[[#This Row],[quantity]],IFERROR(VLOOKUP(Table1[[#This Row],[quantity]],Table5[#All],2,FALSE),"Unknown"))</f>
        <v>2</v>
      </c>
      <c r="O509" t="s">
        <v>1167</v>
      </c>
      <c r="P509">
        <f>IFERROR(VALUE(SUBSTITUTE(SUBSTITUTE(SUBSTITUTE(Table1[[#This Row],[revenue]],"EUR",""),"$",""),".",",")),"")</f>
        <v>2517.46</v>
      </c>
      <c r="Q509" t="s">
        <v>22</v>
      </c>
      <c r="R509" t="str">
        <f>IF(OR(Table1[[#This Row],[currency]]="EUR",Table1[[#This Row],[currency]]="€"),"EUR",IF(OR(Table1[[#This Row],[currency]]="USD",Table1[[#This Row],[currency]]="$"),"USD","Unknown"))</f>
        <v>USD</v>
      </c>
      <c r="S509" t="s">
        <v>23</v>
      </c>
      <c r="T509" t="str">
        <f>IFERROR(_xlfn.XLOOKUP(Table1[[#This Row],[order_status]],Table8[Original],Table8[Clean],,0,1),"Unknown")</f>
        <v>Delivered</v>
      </c>
      <c r="V509" t="str">
        <f>IF(ISNUMBER(Table1[[#This Row],[delivery_days]]),Table1[[#This Row],[delivery_days]],IFERROR(_xlfn.XLOOKUP(Table1[[#This Row],[delivery_days]],Table57[Original],Table57[Clean],,0,1),"Unknown"))</f>
        <v>Unknown</v>
      </c>
      <c r="W509" t="s">
        <v>24</v>
      </c>
    </row>
    <row r="510" spans="1:23" x14ac:dyDescent="0.3">
      <c r="B510" t="str">
        <f>IF(ISBLANK(Table1[[#This Row],[order_id]]),"",IF(LEFT(Table1[[#This Row],[order_id]],3)="ORD",Table1[[#This Row],[order_id]],"ORD-" &amp; Table1[[#This Row],[order_id]]))</f>
        <v/>
      </c>
      <c r="C510" t="s">
        <v>1168</v>
      </c>
      <c r="D510" s="1">
        <f>IFERROR(DATEVALUE(Table1[[#This Row],[order_date]]),"")</f>
        <v>45575</v>
      </c>
      <c r="E510" t="s">
        <v>1169</v>
      </c>
      <c r="F510" t="str">
        <f>IF(ISBLANK(Table1[[#This Row],[customer_name]]),"Unknown Customer",PROPER(SUBSTITUTE(Table1[[#This Row],[customer_name]],"Cust.","Customer")))</f>
        <v>Customer 508</v>
      </c>
      <c r="G510" t="s">
        <v>73</v>
      </c>
      <c r="H510" t="str">
        <f>IFERROR(_xlfn.XLOOKUP(Table1[[#This Row],[region]],Mappings!$C$3:$C$8,Mappings!$D$3:$D$8,,0,1),"Unknown")</f>
        <v>Europe</v>
      </c>
      <c r="J510" t="str">
        <f>IFERROR(_xlfn.XLOOKUP(Table1[[#This Row],[sales_channel]],Table4[Original],Table4[Clean],,0,1),"Unknown")</f>
        <v>Unknown</v>
      </c>
      <c r="K510" t="s">
        <v>33</v>
      </c>
      <c r="L510" t="str">
        <f>IFERROR(_xlfn.XLOOKUP(Table1[[#This Row],[product]],Table3[Original],Table3[Product_clean],,0,1),"Unknown")</f>
        <v>Tablet</v>
      </c>
      <c r="M510" s="6" t="s">
        <v>83</v>
      </c>
      <c r="N510">
        <f>IF(ISNUMBER(Table1[[#This Row],[quantity]]),Table1[[#This Row],[quantity]],IFERROR(VLOOKUP(Table1[[#This Row],[quantity]],Table5[#All],2,FALSE),"Unknown"))</f>
        <v>2</v>
      </c>
      <c r="O510" t="s">
        <v>1170</v>
      </c>
      <c r="P510">
        <f>IFERROR(VALUE(SUBSTITUTE(SUBSTITUTE(SUBSTITUTE(Table1[[#This Row],[revenue]],"EUR",""),"$",""),".",",")),"")</f>
        <v>536.77</v>
      </c>
      <c r="Q510" t="s">
        <v>58</v>
      </c>
      <c r="R510" t="str">
        <f>IF(OR(Table1[[#This Row],[currency]]="EUR",Table1[[#This Row],[currency]]="€"),"EUR",IF(OR(Table1[[#This Row],[currency]]="USD",Table1[[#This Row],[currency]]="$"),"USD","Unknown"))</f>
        <v>USD</v>
      </c>
      <c r="S510" t="s">
        <v>30</v>
      </c>
      <c r="T510" t="str">
        <f>IFERROR(_xlfn.XLOOKUP(Table1[[#This Row],[order_status]],Table8[Original],Table8[Clean],,0,1),"Unknown")</f>
        <v>Delivered</v>
      </c>
      <c r="U510">
        <v>5</v>
      </c>
      <c r="V510">
        <f>IF(ISNUMBER(Table1[[#This Row],[delivery_days]]),Table1[[#This Row],[delivery_days]],IFERROR(_xlfn.XLOOKUP(Table1[[#This Row],[delivery_days]],Table57[Original],Table57[Clean],,0,1),"Unknown"))</f>
        <v>5</v>
      </c>
    </row>
    <row r="511" spans="1:23" x14ac:dyDescent="0.3">
      <c r="B511" t="str">
        <f>IF(ISBLANK(Table1[[#This Row],[order_id]]),"",IF(LEFT(Table1[[#This Row],[order_id]],3)="ORD",Table1[[#This Row],[order_id]],"ORD-" &amp; Table1[[#This Row],[order_id]]))</f>
        <v/>
      </c>
      <c r="C511" t="s">
        <v>423</v>
      </c>
      <c r="D511" s="1">
        <f>IFERROR(DATEVALUE(Table1[[#This Row],[order_date]]),"")</f>
        <v>45383</v>
      </c>
      <c r="F511" t="str">
        <f>IF(ISBLANK(Table1[[#This Row],[customer_name]]),"Unknown Customer",PROPER(SUBSTITUTE(Table1[[#This Row],[customer_name]],"Cust.","Customer")))</f>
        <v>Unknown Customer</v>
      </c>
      <c r="H511" t="str">
        <f>IFERROR(_xlfn.XLOOKUP(Table1[[#This Row],[region]],Mappings!$C$3:$C$8,Mappings!$D$3:$D$8,,0,1),"Unknown")</f>
        <v>Unknown</v>
      </c>
      <c r="I511" t="s">
        <v>78</v>
      </c>
      <c r="J511" t="str">
        <f>IFERROR(_xlfn.XLOOKUP(Table1[[#This Row],[sales_channel]],Table4[Original],Table4[Clean],,0,1),"Unknown")</f>
        <v>Mobile</v>
      </c>
      <c r="K511" t="s">
        <v>15</v>
      </c>
      <c r="L511" t="str">
        <f>IFERROR(_xlfn.XLOOKUP(Table1[[#This Row],[product]],Table3[Original],Table3[Product_clean],,0,1),"Unknown")</f>
        <v>Tablet</v>
      </c>
      <c r="M511" s="6">
        <v>2</v>
      </c>
      <c r="N511">
        <f>IF(ISNUMBER(Table1[[#This Row],[quantity]]),Table1[[#This Row],[quantity]],IFERROR(VLOOKUP(Table1[[#This Row],[quantity]],Table5[#All],2,FALSE),"Unknown"))</f>
        <v>2</v>
      </c>
      <c r="O511">
        <v>71.31</v>
      </c>
      <c r="P511">
        <f>IFERROR(VALUE(SUBSTITUTE(SUBSTITUTE(SUBSTITUTE(Table1[[#This Row],[revenue]],"EUR",""),"$",""),".",",")),"")</f>
        <v>71.31</v>
      </c>
      <c r="Q511" t="s">
        <v>58</v>
      </c>
      <c r="R511" t="str">
        <f>IF(OR(Table1[[#This Row],[currency]]="EUR",Table1[[#This Row],[currency]]="€"),"EUR",IF(OR(Table1[[#This Row],[currency]]="USD",Table1[[#This Row],[currency]]="$"),"USD","Unknown"))</f>
        <v>USD</v>
      </c>
      <c r="S511" t="s">
        <v>23</v>
      </c>
      <c r="T511" t="str">
        <f>IFERROR(_xlfn.XLOOKUP(Table1[[#This Row],[order_status]],Table8[Original],Table8[Clean],,0,1),"Unknown")</f>
        <v>Delivered</v>
      </c>
      <c r="V511" t="str">
        <f>IF(ISNUMBER(Table1[[#This Row],[delivery_days]]),Table1[[#This Row],[delivery_days]],IFERROR(_xlfn.XLOOKUP(Table1[[#This Row],[delivery_days]],Table57[Original],Table57[Clean],,0,1),"Unknown"))</f>
        <v>Unknown</v>
      </c>
      <c r="W511" t="s">
        <v>24</v>
      </c>
    </row>
    <row r="512" spans="1:23" x14ac:dyDescent="0.3">
      <c r="A512">
        <v>1510</v>
      </c>
      <c r="B512" t="str">
        <f>IF(ISBLANK(Table1[[#This Row],[order_id]]),"",IF(LEFT(Table1[[#This Row],[order_id]],3)="ORD",Table1[[#This Row],[order_id]],"ORD-" &amp; Table1[[#This Row],[order_id]]))</f>
        <v>ORD-1510</v>
      </c>
      <c r="C512" t="s">
        <v>1171</v>
      </c>
      <c r="D512" s="1">
        <f>IFERROR(DATEVALUE(Table1[[#This Row],[order_date]]),"")</f>
        <v>45559</v>
      </c>
      <c r="E512" t="s">
        <v>1172</v>
      </c>
      <c r="F512" t="str">
        <f>IF(ISBLANK(Table1[[#This Row],[customer_name]]),"Unknown Customer",PROPER(SUBSTITUTE(Table1[[#This Row],[customer_name]],"Cust.","Customer")))</f>
        <v>Customer 510</v>
      </c>
      <c r="H512" t="str">
        <f>IFERROR(_xlfn.XLOOKUP(Table1[[#This Row],[region]],Mappings!$C$3:$C$8,Mappings!$D$3:$D$8,,0,1),"Unknown")</f>
        <v>Unknown</v>
      </c>
      <c r="I512" t="s">
        <v>78</v>
      </c>
      <c r="J512" t="str">
        <f>IFERROR(_xlfn.XLOOKUP(Table1[[#This Row],[sales_channel]],Table4[Original],Table4[Clean],,0,1),"Unknown")</f>
        <v>Mobile</v>
      </c>
      <c r="K512" t="s">
        <v>33</v>
      </c>
      <c r="L512" t="str">
        <f>IFERROR(_xlfn.XLOOKUP(Table1[[#This Row],[product]],Table3[Original],Table3[Product_clean],,0,1),"Unknown")</f>
        <v>Tablet</v>
      </c>
      <c r="M512" s="6">
        <v>1</v>
      </c>
      <c r="N512">
        <f>IF(ISNUMBER(Table1[[#This Row],[quantity]]),Table1[[#This Row],[quantity]],IFERROR(VLOOKUP(Table1[[#This Row],[quantity]],Table5[#All],2,FALSE),"Unknown"))</f>
        <v>1</v>
      </c>
      <c r="O512" t="s">
        <v>1173</v>
      </c>
      <c r="P512">
        <f>IFERROR(VALUE(SUBSTITUTE(SUBSTITUTE(SUBSTITUTE(Table1[[#This Row],[revenue]],"EUR",""),"$",""),".",",")),"")</f>
        <v>1378.74</v>
      </c>
      <c r="Q512" t="s">
        <v>55</v>
      </c>
      <c r="R512" t="str">
        <f>IF(OR(Table1[[#This Row],[currency]]="EUR",Table1[[#This Row],[currency]]="€"),"EUR",IF(OR(Table1[[#This Row],[currency]]="USD",Table1[[#This Row],[currency]]="$"),"USD","Unknown"))</f>
        <v>EUR</v>
      </c>
      <c r="S512" t="s">
        <v>35</v>
      </c>
      <c r="T512" t="str">
        <f>IFERROR(_xlfn.XLOOKUP(Table1[[#This Row],[order_status]],Table8[Original],Table8[Clean],,0,1),"Unknown")</f>
        <v>Returned</v>
      </c>
      <c r="U512">
        <v>5</v>
      </c>
      <c r="V512">
        <f>IF(ISNUMBER(Table1[[#This Row],[delivery_days]]),Table1[[#This Row],[delivery_days]],IFERROR(_xlfn.XLOOKUP(Table1[[#This Row],[delivery_days]],Table57[Original],Table57[Clean],,0,1),"Unknown"))</f>
        <v>5</v>
      </c>
    </row>
    <row r="513" spans="1:23" x14ac:dyDescent="0.3">
      <c r="B513" t="str">
        <f>IF(ISBLANK(Table1[[#This Row],[order_id]]),"",IF(LEFT(Table1[[#This Row],[order_id]],3)="ORD",Table1[[#This Row],[order_id]],"ORD-" &amp; Table1[[#This Row],[order_id]]))</f>
        <v/>
      </c>
      <c r="C513" t="s">
        <v>1174</v>
      </c>
      <c r="D513" s="1">
        <f>IFERROR(DATEVALUE(Table1[[#This Row],[order_date]]),"")</f>
        <v>45577</v>
      </c>
      <c r="E513" t="s">
        <v>1175</v>
      </c>
      <c r="F513" t="str">
        <f>IF(ISBLANK(Table1[[#This Row],[customer_name]]),"Unknown Customer",PROPER(SUBSTITUTE(Table1[[#This Row],[customer_name]],"Cust.","Customer")))</f>
        <v>Customer 511</v>
      </c>
      <c r="H513" t="str">
        <f>IFERROR(_xlfn.XLOOKUP(Table1[[#This Row],[region]],Mappings!$C$3:$C$8,Mappings!$D$3:$D$8,,0,1),"Unknown")</f>
        <v>Unknown</v>
      </c>
      <c r="I513" t="s">
        <v>68</v>
      </c>
      <c r="J513" t="str">
        <f>IFERROR(_xlfn.XLOOKUP(Table1[[#This Row],[sales_channel]],Table4[Original],Table4[Clean],,0,1),"Unknown")</f>
        <v>Online</v>
      </c>
      <c r="K513" t="s">
        <v>33</v>
      </c>
      <c r="L513" t="str">
        <f>IFERROR(_xlfn.XLOOKUP(Table1[[#This Row],[product]],Table3[Original],Table3[Product_clean],,0,1),"Unknown")</f>
        <v>Tablet</v>
      </c>
      <c r="M513" s="6">
        <v>2</v>
      </c>
      <c r="N513">
        <f>IF(ISNUMBER(Table1[[#This Row],[quantity]]),Table1[[#This Row],[quantity]],IFERROR(VLOOKUP(Table1[[#This Row],[quantity]],Table5[#All],2,FALSE),"Unknown"))</f>
        <v>2</v>
      </c>
      <c r="O513">
        <v>745.14</v>
      </c>
      <c r="P513">
        <f>IFERROR(VALUE(SUBSTITUTE(SUBSTITUTE(SUBSTITUTE(Table1[[#This Row],[revenue]],"EUR",""),"$",""),".",",")),"")</f>
        <v>745.14</v>
      </c>
      <c r="Q513" t="s">
        <v>22</v>
      </c>
      <c r="R513" t="str">
        <f>IF(OR(Table1[[#This Row],[currency]]="EUR",Table1[[#This Row],[currency]]="€"),"EUR",IF(OR(Table1[[#This Row],[currency]]="USD",Table1[[#This Row],[currency]]="$"),"USD","Unknown"))</f>
        <v>USD</v>
      </c>
      <c r="T513" t="str">
        <f>IFERROR(_xlfn.XLOOKUP(Table1[[#This Row],[order_status]],Table8[Original],Table8[Clean],,0,1),"Unknown")</f>
        <v>Unknown</v>
      </c>
      <c r="V513" t="str">
        <f>IF(ISNUMBER(Table1[[#This Row],[delivery_days]]),Table1[[#This Row],[delivery_days]],IFERROR(_xlfn.XLOOKUP(Table1[[#This Row],[delivery_days]],Table57[Original],Table57[Clean],,0,1),"Unknown"))</f>
        <v>Unknown</v>
      </c>
      <c r="W513" t="s">
        <v>37</v>
      </c>
    </row>
    <row r="514" spans="1:23" x14ac:dyDescent="0.3">
      <c r="A514">
        <v>1512</v>
      </c>
      <c r="B514" t="str">
        <f>IF(ISBLANK(Table1[[#This Row],[order_id]]),"",IF(LEFT(Table1[[#This Row],[order_id]],3)="ORD",Table1[[#This Row],[order_id]],"ORD-" &amp; Table1[[#This Row],[order_id]]))</f>
        <v>ORD-1512</v>
      </c>
      <c r="D514" s="1" t="str">
        <f>IFERROR(DATEVALUE(Table1[[#This Row],[order_date]]),"")</f>
        <v/>
      </c>
      <c r="F514" t="str">
        <f>IF(ISBLANK(Table1[[#This Row],[customer_name]]),"Unknown Customer",PROPER(SUBSTITUTE(Table1[[#This Row],[customer_name]],"Cust.","Customer")))</f>
        <v>Unknown Customer</v>
      </c>
      <c r="G514" t="s">
        <v>54</v>
      </c>
      <c r="H514" t="str">
        <f>IFERROR(_xlfn.XLOOKUP(Table1[[#This Row],[region]],Mappings!$C$3:$C$8,Mappings!$D$3:$D$8,,0,1),"Unknown")</f>
        <v>USA</v>
      </c>
      <c r="I514" t="s">
        <v>27</v>
      </c>
      <c r="J514" t="str">
        <f>IFERROR(_xlfn.XLOOKUP(Table1[[#This Row],[sales_channel]],Table4[Original],Table4[Clean],,0,1),"Unknown")</f>
        <v>Online</v>
      </c>
      <c r="K514" t="s">
        <v>15</v>
      </c>
      <c r="L514" t="str">
        <f>IFERROR(_xlfn.XLOOKUP(Table1[[#This Row],[product]],Table3[Original],Table3[Product_clean],,0,1),"Unknown")</f>
        <v>Tablet</v>
      </c>
      <c r="M514" s="6">
        <v>1</v>
      </c>
      <c r="N514">
        <f>IF(ISNUMBER(Table1[[#This Row],[quantity]]),Table1[[#This Row],[quantity]],IFERROR(VLOOKUP(Table1[[#This Row],[quantity]],Table5[#All],2,FALSE),"Unknown"))</f>
        <v>1</v>
      </c>
      <c r="O514">
        <v>206.55</v>
      </c>
      <c r="P514">
        <f>IFERROR(VALUE(SUBSTITUTE(SUBSTITUTE(SUBSTITUTE(Table1[[#This Row],[revenue]],"EUR",""),"$",""),".",",")),"")</f>
        <v>206.55</v>
      </c>
      <c r="Q514" t="s">
        <v>17</v>
      </c>
      <c r="R514" t="str">
        <f>IF(OR(Table1[[#This Row],[currency]]="EUR",Table1[[#This Row],[currency]]="€"),"EUR",IF(OR(Table1[[#This Row],[currency]]="USD",Table1[[#This Row],[currency]]="$"),"USD","Unknown"))</f>
        <v>EUR</v>
      </c>
      <c r="T514" t="str">
        <f>IFERROR(_xlfn.XLOOKUP(Table1[[#This Row],[order_status]],Table8[Original],Table8[Clean],,0,1),"Unknown")</f>
        <v>Unknown</v>
      </c>
      <c r="U514">
        <v>3</v>
      </c>
      <c r="V514">
        <f>IF(ISNUMBER(Table1[[#This Row],[delivery_days]]),Table1[[#This Row],[delivery_days]],IFERROR(_xlfn.XLOOKUP(Table1[[#This Row],[delivery_days]],Table57[Original],Table57[Clean],,0,1),"Unknown"))</f>
        <v>3</v>
      </c>
      <c r="W514" t="s">
        <v>24</v>
      </c>
    </row>
    <row r="515" spans="1:23" x14ac:dyDescent="0.3">
      <c r="B515" t="str">
        <f>IF(ISBLANK(Table1[[#This Row],[order_id]]),"",IF(LEFT(Table1[[#This Row],[order_id]],3)="ORD",Table1[[#This Row],[order_id]],"ORD-" &amp; Table1[[#This Row],[order_id]]))</f>
        <v/>
      </c>
      <c r="D515" s="1" t="str">
        <f>IFERROR(DATEVALUE(Table1[[#This Row],[order_date]]),"")</f>
        <v/>
      </c>
      <c r="E515" t="s">
        <v>1176</v>
      </c>
      <c r="F515" t="str">
        <f>IF(ISBLANK(Table1[[#This Row],[customer_name]]),"Unknown Customer",PROPER(SUBSTITUTE(Table1[[#This Row],[customer_name]],"Cust.","Customer")))</f>
        <v>Customer 513</v>
      </c>
      <c r="G515" t="s">
        <v>73</v>
      </c>
      <c r="H515" t="str">
        <f>IFERROR(_xlfn.XLOOKUP(Table1[[#This Row],[region]],Mappings!$C$3:$C$8,Mappings!$D$3:$D$8,,0,1),"Unknown")</f>
        <v>Europe</v>
      </c>
      <c r="J515" t="str">
        <f>IFERROR(_xlfn.XLOOKUP(Table1[[#This Row],[sales_channel]],Table4[Original],Table4[Clean],,0,1),"Unknown")</f>
        <v>Unknown</v>
      </c>
      <c r="K515" t="s">
        <v>51</v>
      </c>
      <c r="L515" t="str">
        <f>IFERROR(_xlfn.XLOOKUP(Table1[[#This Row],[product]],Table3[Original],Table3[Product_clean],,0,1),"Unknown")</f>
        <v>Laptop</v>
      </c>
      <c r="M515" s="6"/>
      <c r="N515" t="str">
        <f>IF(ISNUMBER(Table1[[#This Row],[quantity]]),Table1[[#This Row],[quantity]],IFERROR(VLOOKUP(Table1[[#This Row],[quantity]],Table5[#All],2,FALSE),"Unknown"))</f>
        <v>Unknown</v>
      </c>
      <c r="O515" t="s">
        <v>1177</v>
      </c>
      <c r="P515">
        <f>IFERROR(VALUE(SUBSTITUTE(SUBSTITUTE(SUBSTITUTE(Table1[[#This Row],[revenue]],"EUR",""),"$",""),".",",")),"")</f>
        <v>1332.28</v>
      </c>
      <c r="Q515" t="s">
        <v>58</v>
      </c>
      <c r="R515" t="str">
        <f>IF(OR(Table1[[#This Row],[currency]]="EUR",Table1[[#This Row],[currency]]="€"),"EUR",IF(OR(Table1[[#This Row],[currency]]="USD",Table1[[#This Row],[currency]]="$"),"USD","Unknown"))</f>
        <v>USD</v>
      </c>
      <c r="S515" t="s">
        <v>23</v>
      </c>
      <c r="T515" t="str">
        <f>IFERROR(_xlfn.XLOOKUP(Table1[[#This Row],[order_status]],Table8[Original],Table8[Clean],,0,1),"Unknown")</f>
        <v>Delivered</v>
      </c>
      <c r="U515">
        <v>1</v>
      </c>
      <c r="V515">
        <f>IF(ISNUMBER(Table1[[#This Row],[delivery_days]]),Table1[[#This Row],[delivery_days]],IFERROR(_xlfn.XLOOKUP(Table1[[#This Row],[delivery_days]],Table57[Original],Table57[Clean],,0,1),"Unknown"))</f>
        <v>1</v>
      </c>
    </row>
    <row r="516" spans="1:23" x14ac:dyDescent="0.3">
      <c r="B516" t="str">
        <f>IF(ISBLANK(Table1[[#This Row],[order_id]]),"",IF(LEFT(Table1[[#This Row],[order_id]],3)="ORD",Table1[[#This Row],[order_id]],"ORD-" &amp; Table1[[#This Row],[order_id]]))</f>
        <v/>
      </c>
      <c r="D516" s="1" t="str">
        <f>IFERROR(DATEVALUE(Table1[[#This Row],[order_date]]),"")</f>
        <v/>
      </c>
      <c r="E516" t="s">
        <v>1178</v>
      </c>
      <c r="F516" t="str">
        <f>IF(ISBLANK(Table1[[#This Row],[customer_name]]),"Unknown Customer",PROPER(SUBSTITUTE(Table1[[#This Row],[customer_name]],"Cust.","Customer")))</f>
        <v>Customer 514</v>
      </c>
      <c r="G516" t="s">
        <v>32</v>
      </c>
      <c r="H516" t="str">
        <f>IFERROR(_xlfn.XLOOKUP(Table1[[#This Row],[region]],Mappings!$C$3:$C$8,Mappings!$D$3:$D$8,,0,1),"Unknown")</f>
        <v>Europe</v>
      </c>
      <c r="I516" t="s">
        <v>27</v>
      </c>
      <c r="J516" t="str">
        <f>IFERROR(_xlfn.XLOOKUP(Table1[[#This Row],[sales_channel]],Table4[Original],Table4[Clean],,0,1),"Unknown")</f>
        <v>Online</v>
      </c>
      <c r="K516" t="s">
        <v>15</v>
      </c>
      <c r="L516" t="str">
        <f>IFERROR(_xlfn.XLOOKUP(Table1[[#This Row],[product]],Table3[Original],Table3[Product_clean],,0,1),"Unknown")</f>
        <v>Tablet</v>
      </c>
      <c r="M516" s="6">
        <v>3</v>
      </c>
      <c r="N516">
        <f>IF(ISNUMBER(Table1[[#This Row],[quantity]]),Table1[[#This Row],[quantity]],IFERROR(VLOOKUP(Table1[[#This Row],[quantity]],Table5[#All],2,FALSE),"Unknown"))</f>
        <v>3</v>
      </c>
      <c r="O516" t="s">
        <v>1179</v>
      </c>
      <c r="P516">
        <f>IFERROR(VALUE(SUBSTITUTE(SUBSTITUTE(SUBSTITUTE(Table1[[#This Row],[revenue]],"EUR",""),"$",""),".",",")),"")</f>
        <v>392.39</v>
      </c>
      <c r="Q516" t="s">
        <v>58</v>
      </c>
      <c r="R516" t="str">
        <f>IF(OR(Table1[[#This Row],[currency]]="EUR",Table1[[#This Row],[currency]]="€"),"EUR",IF(OR(Table1[[#This Row],[currency]]="USD",Table1[[#This Row],[currency]]="$"),"USD","Unknown"))</f>
        <v>USD</v>
      </c>
      <c r="S516" t="s">
        <v>30</v>
      </c>
      <c r="T516" t="str">
        <f>IFERROR(_xlfn.XLOOKUP(Table1[[#This Row],[order_status]],Table8[Original],Table8[Clean],,0,1),"Unknown")</f>
        <v>Delivered</v>
      </c>
      <c r="U516">
        <v>3</v>
      </c>
      <c r="V516">
        <f>IF(ISNUMBER(Table1[[#This Row],[delivery_days]]),Table1[[#This Row],[delivery_days]],IFERROR(_xlfn.XLOOKUP(Table1[[#This Row],[delivery_days]],Table57[Original],Table57[Clean],,0,1),"Unknown"))</f>
        <v>3</v>
      </c>
      <c r="W516" t="s">
        <v>37</v>
      </c>
    </row>
    <row r="517" spans="1:23" x14ac:dyDescent="0.3">
      <c r="A517">
        <v>1515</v>
      </c>
      <c r="B517" t="str">
        <f>IF(ISBLANK(Table1[[#This Row],[order_id]]),"",IF(LEFT(Table1[[#This Row],[order_id]],3)="ORD",Table1[[#This Row],[order_id]],"ORD-" &amp; Table1[[#This Row],[order_id]]))</f>
        <v>ORD-1515</v>
      </c>
      <c r="D517" s="1" t="str">
        <f>IFERROR(DATEVALUE(Table1[[#This Row],[order_date]]),"")</f>
        <v/>
      </c>
      <c r="E517" t="s">
        <v>1180</v>
      </c>
      <c r="F517" t="str">
        <f>IF(ISBLANK(Table1[[#This Row],[customer_name]]),"Unknown Customer",PROPER(SUBSTITUTE(Table1[[#This Row],[customer_name]],"Cust.","Customer")))</f>
        <v>Customer 515</v>
      </c>
      <c r="G517" t="s">
        <v>73</v>
      </c>
      <c r="H517" t="str">
        <f>IFERROR(_xlfn.XLOOKUP(Table1[[#This Row],[region]],Mappings!$C$3:$C$8,Mappings!$D$3:$D$8,,0,1),"Unknown")</f>
        <v>Europe</v>
      </c>
      <c r="I517" t="s">
        <v>78</v>
      </c>
      <c r="J517" t="str">
        <f>IFERROR(_xlfn.XLOOKUP(Table1[[#This Row],[sales_channel]],Table4[Original],Table4[Clean],,0,1),"Unknown")</f>
        <v>Mobile</v>
      </c>
      <c r="K517" t="s">
        <v>33</v>
      </c>
      <c r="L517" t="str">
        <f>IFERROR(_xlfn.XLOOKUP(Table1[[#This Row],[product]],Table3[Original],Table3[Product_clean],,0,1),"Unknown")</f>
        <v>Tablet</v>
      </c>
      <c r="M517" s="6" t="s">
        <v>83</v>
      </c>
      <c r="N517">
        <f>IF(ISNUMBER(Table1[[#This Row],[quantity]]),Table1[[#This Row],[quantity]],IFERROR(VLOOKUP(Table1[[#This Row],[quantity]],Table5[#All],2,FALSE),"Unknown"))</f>
        <v>2</v>
      </c>
      <c r="P517" t="str">
        <f>IFERROR(VALUE(SUBSTITUTE(SUBSTITUTE(SUBSTITUTE(Table1[[#This Row],[revenue]],"EUR",""),"$",""),".",",")),"")</f>
        <v/>
      </c>
      <c r="Q517" t="s">
        <v>17</v>
      </c>
      <c r="R517" t="str">
        <f>IF(OR(Table1[[#This Row],[currency]]="EUR",Table1[[#This Row],[currency]]="€"),"EUR",IF(OR(Table1[[#This Row],[currency]]="USD",Table1[[#This Row],[currency]]="$"),"USD","Unknown"))</f>
        <v>EUR</v>
      </c>
      <c r="S517" t="s">
        <v>47</v>
      </c>
      <c r="T517" t="str">
        <f>IFERROR(_xlfn.XLOOKUP(Table1[[#This Row],[order_status]],Table8[Original],Table8[Clean],,0,1),"Unknown")</f>
        <v>Returned</v>
      </c>
      <c r="U517">
        <v>2</v>
      </c>
      <c r="V517">
        <f>IF(ISNUMBER(Table1[[#This Row],[delivery_days]]),Table1[[#This Row],[delivery_days]],IFERROR(_xlfn.XLOOKUP(Table1[[#This Row],[delivery_days]],Table57[Original],Table57[Clean],,0,1),"Unknown"))</f>
        <v>2</v>
      </c>
      <c r="W517" t="s">
        <v>37</v>
      </c>
    </row>
    <row r="518" spans="1:23" x14ac:dyDescent="0.3">
      <c r="A518" t="s">
        <v>1181</v>
      </c>
      <c r="B518" t="str">
        <f>IF(ISBLANK(Table1[[#This Row],[order_id]]),"",IF(LEFT(Table1[[#This Row],[order_id]],3)="ORD",Table1[[#This Row],[order_id]],"ORD-" &amp; Table1[[#This Row],[order_id]]))</f>
        <v>ORD-1516</v>
      </c>
      <c r="C518" t="s">
        <v>561</v>
      </c>
      <c r="D518" s="1">
        <f>IFERROR(DATEVALUE(Table1[[#This Row],[order_date]]),"")</f>
        <v>45604</v>
      </c>
      <c r="F518" t="str">
        <f>IF(ISBLANK(Table1[[#This Row],[customer_name]]),"Unknown Customer",PROPER(SUBSTITUTE(Table1[[#This Row],[customer_name]],"Cust.","Customer")))</f>
        <v>Unknown Customer</v>
      </c>
      <c r="H518" t="str">
        <f>IFERROR(_xlfn.XLOOKUP(Table1[[#This Row],[region]],Mappings!$C$3:$C$8,Mappings!$D$3:$D$8,,0,1),"Unknown")</f>
        <v>Unknown</v>
      </c>
      <c r="I518" t="s">
        <v>27</v>
      </c>
      <c r="J518" t="str">
        <f>IFERROR(_xlfn.XLOOKUP(Table1[[#This Row],[sales_channel]],Table4[Original],Table4[Clean],,0,1),"Unknown")</f>
        <v>Online</v>
      </c>
      <c r="K518" t="s">
        <v>15</v>
      </c>
      <c r="L518" t="str">
        <f>IFERROR(_xlfn.XLOOKUP(Table1[[#This Row],[product]],Table3[Original],Table3[Product_clean],,0,1),"Unknown")</f>
        <v>Tablet</v>
      </c>
      <c r="M518" s="6">
        <v>3</v>
      </c>
      <c r="N518">
        <f>IF(ISNUMBER(Table1[[#This Row],[quantity]]),Table1[[#This Row],[quantity]],IFERROR(VLOOKUP(Table1[[#This Row],[quantity]],Table5[#All],2,FALSE),"Unknown"))</f>
        <v>3</v>
      </c>
      <c r="P518" t="str">
        <f>IFERROR(VALUE(SUBSTITUTE(SUBSTITUTE(SUBSTITUTE(Table1[[#This Row],[revenue]],"EUR",""),"$",""),".",",")),"")</f>
        <v/>
      </c>
      <c r="Q518" t="s">
        <v>55</v>
      </c>
      <c r="R518" t="str">
        <f>IF(OR(Table1[[#This Row],[currency]]="EUR",Table1[[#This Row],[currency]]="€"),"EUR",IF(OR(Table1[[#This Row],[currency]]="USD",Table1[[#This Row],[currency]]="$"),"USD","Unknown"))</f>
        <v>EUR</v>
      </c>
      <c r="S518" t="s">
        <v>23</v>
      </c>
      <c r="T518" t="str">
        <f>IFERROR(_xlfn.XLOOKUP(Table1[[#This Row],[order_status]],Table8[Original],Table8[Clean],,0,1),"Unknown")</f>
        <v>Delivered</v>
      </c>
      <c r="U518">
        <v>3</v>
      </c>
      <c r="V518">
        <f>IF(ISNUMBER(Table1[[#This Row],[delivery_days]]),Table1[[#This Row],[delivery_days]],IFERROR(_xlfn.XLOOKUP(Table1[[#This Row],[delivery_days]],Table57[Original],Table57[Clean],,0,1),"Unknown"))</f>
        <v>3</v>
      </c>
      <c r="W518" t="s">
        <v>37</v>
      </c>
    </row>
    <row r="519" spans="1:23" x14ac:dyDescent="0.3">
      <c r="A519" t="s">
        <v>1182</v>
      </c>
      <c r="B519" t="str">
        <f>IF(ISBLANK(Table1[[#This Row],[order_id]]),"",IF(LEFT(Table1[[#This Row],[order_id]],3)="ORD",Table1[[#This Row],[order_id]],"ORD-" &amp; Table1[[#This Row],[order_id]]))</f>
        <v>ORD-1517</v>
      </c>
      <c r="C519" t="s">
        <v>1183</v>
      </c>
      <c r="D519" s="1">
        <f>IFERROR(DATEVALUE(Table1[[#This Row],[order_date]]),"")</f>
        <v>45308</v>
      </c>
      <c r="E519" t="s">
        <v>1184</v>
      </c>
      <c r="F519" t="str">
        <f>IF(ISBLANK(Table1[[#This Row],[customer_name]]),"Unknown Customer",PROPER(SUBSTITUTE(Table1[[#This Row],[customer_name]],"Cust.","Customer")))</f>
        <v>Customer 517</v>
      </c>
      <c r="H519" t="str">
        <f>IFERROR(_xlfn.XLOOKUP(Table1[[#This Row],[region]],Mappings!$C$3:$C$8,Mappings!$D$3:$D$8,,0,1),"Unknown")</f>
        <v>Unknown</v>
      </c>
      <c r="I519" t="s">
        <v>78</v>
      </c>
      <c r="J519" t="str">
        <f>IFERROR(_xlfn.XLOOKUP(Table1[[#This Row],[sales_channel]],Table4[Original],Table4[Clean],,0,1),"Unknown")</f>
        <v>Mobile</v>
      </c>
      <c r="K519" t="s">
        <v>41</v>
      </c>
      <c r="L519" t="str">
        <f>IFERROR(_xlfn.XLOOKUP(Table1[[#This Row],[product]],Table3[Original],Table3[Product_clean],,0,1),"Unknown")</f>
        <v>Phone</v>
      </c>
      <c r="M519" s="6" t="s">
        <v>83</v>
      </c>
      <c r="N519">
        <f>IF(ISNUMBER(Table1[[#This Row],[quantity]]),Table1[[#This Row],[quantity]],IFERROR(VLOOKUP(Table1[[#This Row],[quantity]],Table5[#All],2,FALSE),"Unknown"))</f>
        <v>2</v>
      </c>
      <c r="O519">
        <v>2092.02</v>
      </c>
      <c r="P519">
        <f>IFERROR(VALUE(SUBSTITUTE(SUBSTITUTE(SUBSTITUTE(Table1[[#This Row],[revenue]],"EUR",""),"$",""),".",",")),"")</f>
        <v>2092.02</v>
      </c>
      <c r="Q519" t="s">
        <v>58</v>
      </c>
      <c r="R519" t="str">
        <f>IF(OR(Table1[[#This Row],[currency]]="EUR",Table1[[#This Row],[currency]]="€"),"EUR",IF(OR(Table1[[#This Row],[currency]]="USD",Table1[[#This Row],[currency]]="$"),"USD","Unknown"))</f>
        <v>USD</v>
      </c>
      <c r="S519" t="s">
        <v>35</v>
      </c>
      <c r="T519" t="str">
        <f>IFERROR(_xlfn.XLOOKUP(Table1[[#This Row],[order_status]],Table8[Original],Table8[Clean],,0,1),"Unknown")</f>
        <v>Returned</v>
      </c>
      <c r="U519">
        <v>2</v>
      </c>
      <c r="V519">
        <f>IF(ISNUMBER(Table1[[#This Row],[delivery_days]]),Table1[[#This Row],[delivery_days]],IFERROR(_xlfn.XLOOKUP(Table1[[#This Row],[delivery_days]],Table57[Original],Table57[Clean],,0,1),"Unknown"))</f>
        <v>2</v>
      </c>
      <c r="W519" t="s">
        <v>24</v>
      </c>
    </row>
    <row r="520" spans="1:23" x14ac:dyDescent="0.3">
      <c r="B520" t="str">
        <f>IF(ISBLANK(Table1[[#This Row],[order_id]]),"",IF(LEFT(Table1[[#This Row],[order_id]],3)="ORD",Table1[[#This Row],[order_id]],"ORD-" &amp; Table1[[#This Row],[order_id]]))</f>
        <v/>
      </c>
      <c r="C520" t="s">
        <v>1185</v>
      </c>
      <c r="D520" s="1">
        <f>IFERROR(DATEVALUE(Table1[[#This Row],[order_date]]),"")</f>
        <v>45601</v>
      </c>
      <c r="E520" t="s">
        <v>1186</v>
      </c>
      <c r="F520" t="str">
        <f>IF(ISBLANK(Table1[[#This Row],[customer_name]]),"Unknown Customer",PROPER(SUBSTITUTE(Table1[[#This Row],[customer_name]],"Cust.","Customer")))</f>
        <v>Customer 518</v>
      </c>
      <c r="G520" t="s">
        <v>32</v>
      </c>
      <c r="H520" t="str">
        <f>IFERROR(_xlfn.XLOOKUP(Table1[[#This Row],[region]],Mappings!$C$3:$C$8,Mappings!$D$3:$D$8,,0,1),"Unknown")</f>
        <v>Europe</v>
      </c>
      <c r="I520" t="s">
        <v>68</v>
      </c>
      <c r="J520" t="str">
        <f>IFERROR(_xlfn.XLOOKUP(Table1[[#This Row],[sales_channel]],Table4[Original],Table4[Clean],,0,1),"Unknown")</f>
        <v>Online</v>
      </c>
      <c r="K520" t="s">
        <v>41</v>
      </c>
      <c r="L520" t="str">
        <f>IFERROR(_xlfn.XLOOKUP(Table1[[#This Row],[product]],Table3[Original],Table3[Product_clean],,0,1),"Unknown")</f>
        <v>Phone</v>
      </c>
      <c r="M520" s="6">
        <v>2</v>
      </c>
      <c r="N520">
        <f>IF(ISNUMBER(Table1[[#This Row],[quantity]]),Table1[[#This Row],[quantity]],IFERROR(VLOOKUP(Table1[[#This Row],[quantity]],Table5[#All],2,FALSE),"Unknown"))</f>
        <v>2</v>
      </c>
      <c r="O520" t="s">
        <v>1187</v>
      </c>
      <c r="P520">
        <f>IFERROR(VALUE(SUBSTITUTE(SUBSTITUTE(SUBSTITUTE(Table1[[#This Row],[revenue]],"EUR",""),"$",""),".",",")),"")</f>
        <v>512.52</v>
      </c>
      <c r="R520" t="str">
        <f>IF(OR(Table1[[#This Row],[currency]]="EUR",Table1[[#This Row],[currency]]="€"),"EUR",IF(OR(Table1[[#This Row],[currency]]="USD",Table1[[#This Row],[currency]]="$"),"USD","Unknown"))</f>
        <v>Unknown</v>
      </c>
      <c r="S520" t="s">
        <v>47</v>
      </c>
      <c r="T520" t="str">
        <f>IFERROR(_xlfn.XLOOKUP(Table1[[#This Row],[order_status]],Table8[Original],Table8[Clean],,0,1),"Unknown")</f>
        <v>Returned</v>
      </c>
      <c r="U520">
        <v>5</v>
      </c>
      <c r="V520">
        <f>IF(ISNUMBER(Table1[[#This Row],[delivery_days]]),Table1[[#This Row],[delivery_days]],IFERROR(_xlfn.XLOOKUP(Table1[[#This Row],[delivery_days]],Table57[Original],Table57[Clean],,0,1),"Unknown"))</f>
        <v>5</v>
      </c>
      <c r="W520" t="s">
        <v>24</v>
      </c>
    </row>
    <row r="521" spans="1:23" x14ac:dyDescent="0.3">
      <c r="A521">
        <v>1519</v>
      </c>
      <c r="B521" t="str">
        <f>IF(ISBLANK(Table1[[#This Row],[order_id]]),"",IF(LEFT(Table1[[#This Row],[order_id]],3)="ORD",Table1[[#This Row],[order_id]],"ORD-" &amp; Table1[[#This Row],[order_id]]))</f>
        <v>ORD-1519</v>
      </c>
      <c r="C521" t="s">
        <v>1188</v>
      </c>
      <c r="D521" s="1">
        <f>IFERROR(DATEVALUE(Table1[[#This Row],[order_date]]),"")</f>
        <v>45505</v>
      </c>
      <c r="F521" t="str">
        <f>IF(ISBLANK(Table1[[#This Row],[customer_name]]),"Unknown Customer",PROPER(SUBSTITUTE(Table1[[#This Row],[customer_name]],"Cust.","Customer")))</f>
        <v>Unknown Customer</v>
      </c>
      <c r="G521" t="s">
        <v>45</v>
      </c>
      <c r="H521" t="str">
        <f>IFERROR(_xlfn.XLOOKUP(Table1[[#This Row],[region]],Mappings!$C$3:$C$8,Mappings!$D$3:$D$8,,0,1),"Unknown")</f>
        <v>USA</v>
      </c>
      <c r="I521" t="s">
        <v>27</v>
      </c>
      <c r="J521" t="str">
        <f>IFERROR(_xlfn.XLOOKUP(Table1[[#This Row],[sales_channel]],Table4[Original],Table4[Clean],,0,1),"Unknown")</f>
        <v>Online</v>
      </c>
      <c r="K521" t="s">
        <v>33</v>
      </c>
      <c r="L521" t="str">
        <f>IFERROR(_xlfn.XLOOKUP(Table1[[#This Row],[product]],Table3[Original],Table3[Product_clean],,0,1),"Unknown")</f>
        <v>Tablet</v>
      </c>
      <c r="M521" s="6">
        <v>2</v>
      </c>
      <c r="N521">
        <f>IF(ISNUMBER(Table1[[#This Row],[quantity]]),Table1[[#This Row],[quantity]],IFERROR(VLOOKUP(Table1[[#This Row],[quantity]],Table5[#All],2,FALSE),"Unknown"))</f>
        <v>2</v>
      </c>
      <c r="O521" t="s">
        <v>1189</v>
      </c>
      <c r="P521">
        <f>IFERROR(VALUE(SUBSTITUTE(SUBSTITUTE(SUBSTITUTE(Table1[[#This Row],[revenue]],"EUR",""),"$",""),".",",")),"")</f>
        <v>2203.5500000000002</v>
      </c>
      <c r="R521" t="str">
        <f>IF(OR(Table1[[#This Row],[currency]]="EUR",Table1[[#This Row],[currency]]="€"),"EUR",IF(OR(Table1[[#This Row],[currency]]="USD",Table1[[#This Row],[currency]]="$"),"USD","Unknown"))</f>
        <v>Unknown</v>
      </c>
      <c r="S521" t="s">
        <v>30</v>
      </c>
      <c r="T521" t="str">
        <f>IFERROR(_xlfn.XLOOKUP(Table1[[#This Row],[order_status]],Table8[Original],Table8[Clean],,0,1),"Unknown")</f>
        <v>Delivered</v>
      </c>
      <c r="U521">
        <v>5</v>
      </c>
      <c r="V521">
        <f>IF(ISNUMBER(Table1[[#This Row],[delivery_days]]),Table1[[#This Row],[delivery_days]],IFERROR(_xlfn.XLOOKUP(Table1[[#This Row],[delivery_days]],Table57[Original],Table57[Clean],,0,1),"Unknown"))</f>
        <v>5</v>
      </c>
    </row>
    <row r="522" spans="1:23" x14ac:dyDescent="0.3">
      <c r="A522" t="s">
        <v>1190</v>
      </c>
      <c r="B522" t="str">
        <f>IF(ISBLANK(Table1[[#This Row],[order_id]]),"",IF(LEFT(Table1[[#This Row],[order_id]],3)="ORD",Table1[[#This Row],[order_id]],"ORD-" &amp; Table1[[#This Row],[order_id]]))</f>
        <v>ORD-1520</v>
      </c>
      <c r="D522" s="1" t="str">
        <f>IFERROR(DATEVALUE(Table1[[#This Row],[order_date]]),"")</f>
        <v/>
      </c>
      <c r="F522" t="str">
        <f>IF(ISBLANK(Table1[[#This Row],[customer_name]]),"Unknown Customer",PROPER(SUBSTITUTE(Table1[[#This Row],[customer_name]],"Cust.","Customer")))</f>
        <v>Unknown Customer</v>
      </c>
      <c r="H522" t="str">
        <f>IFERROR(_xlfn.XLOOKUP(Table1[[#This Row],[region]],Mappings!$C$3:$C$8,Mappings!$D$3:$D$8,,0,1),"Unknown")</f>
        <v>Unknown</v>
      </c>
      <c r="J522" t="str">
        <f>IFERROR(_xlfn.XLOOKUP(Table1[[#This Row],[sales_channel]],Table4[Original],Table4[Clean],,0,1),"Unknown")</f>
        <v>Unknown</v>
      </c>
      <c r="L522" t="str">
        <f>IFERROR(_xlfn.XLOOKUP(Table1[[#This Row],[product]],Table3[Original],Table3[Product_clean],,0,1),"Unknown")</f>
        <v>Unknown</v>
      </c>
      <c r="M522" s="6">
        <v>1</v>
      </c>
      <c r="N522">
        <f>IF(ISNUMBER(Table1[[#This Row],[quantity]]),Table1[[#This Row],[quantity]],IFERROR(VLOOKUP(Table1[[#This Row],[quantity]],Table5[#All],2,FALSE),"Unknown"))</f>
        <v>1</v>
      </c>
      <c r="O522">
        <v>2974.26</v>
      </c>
      <c r="P522">
        <f>IFERROR(VALUE(SUBSTITUTE(SUBSTITUTE(SUBSTITUTE(Table1[[#This Row],[revenue]],"EUR",""),"$",""),".",",")),"")</f>
        <v>2974.26</v>
      </c>
      <c r="Q522" t="s">
        <v>22</v>
      </c>
      <c r="R522" t="str">
        <f>IF(OR(Table1[[#This Row],[currency]]="EUR",Table1[[#This Row],[currency]]="€"),"EUR",IF(OR(Table1[[#This Row],[currency]]="USD",Table1[[#This Row],[currency]]="$"),"USD","Unknown"))</f>
        <v>USD</v>
      </c>
      <c r="S522" t="s">
        <v>47</v>
      </c>
      <c r="T522" t="str">
        <f>IFERROR(_xlfn.XLOOKUP(Table1[[#This Row],[order_status]],Table8[Original],Table8[Clean],,0,1),"Unknown")</f>
        <v>Returned</v>
      </c>
      <c r="U522">
        <v>2</v>
      </c>
      <c r="V522">
        <f>IF(ISNUMBER(Table1[[#This Row],[delivery_days]]),Table1[[#This Row],[delivery_days]],IFERROR(_xlfn.XLOOKUP(Table1[[#This Row],[delivery_days]],Table57[Original],Table57[Clean],,0,1),"Unknown"))</f>
        <v>2</v>
      </c>
    </row>
    <row r="523" spans="1:23" x14ac:dyDescent="0.3">
      <c r="A523">
        <v>1521</v>
      </c>
      <c r="B523" t="str">
        <f>IF(ISBLANK(Table1[[#This Row],[order_id]]),"",IF(LEFT(Table1[[#This Row],[order_id]],3)="ORD",Table1[[#This Row],[order_id]],"ORD-" &amp; Table1[[#This Row],[order_id]]))</f>
        <v>ORD-1521</v>
      </c>
      <c r="C523" t="s">
        <v>1191</v>
      </c>
      <c r="D523" s="1">
        <f>IFERROR(DATEVALUE(Table1[[#This Row],[order_date]]),"")</f>
        <v>45577</v>
      </c>
      <c r="E523" t="s">
        <v>1192</v>
      </c>
      <c r="F523" t="str">
        <f>IF(ISBLANK(Table1[[#This Row],[customer_name]]),"Unknown Customer",PROPER(SUBSTITUTE(Table1[[#This Row],[customer_name]],"Cust.","Customer")))</f>
        <v>Customer 521</v>
      </c>
      <c r="G523" t="s">
        <v>26</v>
      </c>
      <c r="H523" t="str">
        <f>IFERROR(_xlfn.XLOOKUP(Table1[[#This Row],[region]],Mappings!$C$3:$C$8,Mappings!$D$3:$D$8,,0,1),"Unknown")</f>
        <v>Asia</v>
      </c>
      <c r="I523" t="s">
        <v>27</v>
      </c>
      <c r="J523" t="str">
        <f>IFERROR(_xlfn.XLOOKUP(Table1[[#This Row],[sales_channel]],Table4[Original],Table4[Clean],,0,1),"Unknown")</f>
        <v>Online</v>
      </c>
      <c r="K523" t="s">
        <v>15</v>
      </c>
      <c r="L523" t="str">
        <f>IFERROR(_xlfn.XLOOKUP(Table1[[#This Row],[product]],Table3[Original],Table3[Product_clean],,0,1),"Unknown")</f>
        <v>Tablet</v>
      </c>
      <c r="M523" s="6">
        <v>1</v>
      </c>
      <c r="N523">
        <f>IF(ISNUMBER(Table1[[#This Row],[quantity]]),Table1[[#This Row],[quantity]],IFERROR(VLOOKUP(Table1[[#This Row],[quantity]],Table5[#All],2,FALSE),"Unknown"))</f>
        <v>1</v>
      </c>
      <c r="P523" t="str">
        <f>IFERROR(VALUE(SUBSTITUTE(SUBSTITUTE(SUBSTITUTE(Table1[[#This Row],[revenue]],"EUR",""),"$",""),".",",")),"")</f>
        <v/>
      </c>
      <c r="Q523" t="s">
        <v>17</v>
      </c>
      <c r="R523" t="str">
        <f>IF(OR(Table1[[#This Row],[currency]]="EUR",Table1[[#This Row],[currency]]="€"),"EUR",IF(OR(Table1[[#This Row],[currency]]="USD",Table1[[#This Row],[currency]]="$"),"USD","Unknown"))</f>
        <v>EUR</v>
      </c>
      <c r="S523" t="s">
        <v>47</v>
      </c>
      <c r="T523" t="str">
        <f>IFERROR(_xlfn.XLOOKUP(Table1[[#This Row],[order_status]],Table8[Original],Table8[Clean],,0,1),"Unknown")</f>
        <v>Returned</v>
      </c>
      <c r="V523" t="str">
        <f>IF(ISNUMBER(Table1[[#This Row],[delivery_days]]),Table1[[#This Row],[delivery_days]],IFERROR(_xlfn.XLOOKUP(Table1[[#This Row],[delivery_days]],Table57[Original],Table57[Clean],,0,1),"Unknown"))</f>
        <v>Unknown</v>
      </c>
      <c r="W523" t="s">
        <v>24</v>
      </c>
    </row>
    <row r="524" spans="1:23" x14ac:dyDescent="0.3">
      <c r="A524" t="s">
        <v>1193</v>
      </c>
      <c r="B524" t="str">
        <f>IF(ISBLANK(Table1[[#This Row],[order_id]]),"",IF(LEFT(Table1[[#This Row],[order_id]],3)="ORD",Table1[[#This Row],[order_id]],"ORD-" &amp; Table1[[#This Row],[order_id]]))</f>
        <v>ORD-1522</v>
      </c>
      <c r="D524" s="1" t="str">
        <f>IFERROR(DATEVALUE(Table1[[#This Row],[order_date]]),"")</f>
        <v/>
      </c>
      <c r="E524" t="s">
        <v>1194</v>
      </c>
      <c r="F524" t="str">
        <f>IF(ISBLANK(Table1[[#This Row],[customer_name]]),"Unknown Customer",PROPER(SUBSTITUTE(Table1[[#This Row],[customer_name]],"Cust.","Customer")))</f>
        <v>Customer 522</v>
      </c>
      <c r="H524" t="str">
        <f>IFERROR(_xlfn.XLOOKUP(Table1[[#This Row],[region]],Mappings!$C$3:$C$8,Mappings!$D$3:$D$8,,0,1),"Unknown")</f>
        <v>Unknown</v>
      </c>
      <c r="J524" t="str">
        <f>IFERROR(_xlfn.XLOOKUP(Table1[[#This Row],[sales_channel]],Table4[Original],Table4[Clean],,0,1),"Unknown")</f>
        <v>Unknown</v>
      </c>
      <c r="K524" t="s">
        <v>41</v>
      </c>
      <c r="L524" t="str">
        <f>IFERROR(_xlfn.XLOOKUP(Table1[[#This Row],[product]],Table3[Original],Table3[Product_clean],,0,1),"Unknown")</f>
        <v>Phone</v>
      </c>
      <c r="M524" s="6">
        <v>2</v>
      </c>
      <c r="N524">
        <f>IF(ISNUMBER(Table1[[#This Row],[quantity]]),Table1[[#This Row],[quantity]],IFERROR(VLOOKUP(Table1[[#This Row],[quantity]],Table5[#All],2,FALSE),"Unknown"))</f>
        <v>2</v>
      </c>
      <c r="O524">
        <v>2124.75</v>
      </c>
      <c r="P524">
        <f>IFERROR(VALUE(SUBSTITUTE(SUBSTITUTE(SUBSTITUTE(Table1[[#This Row],[revenue]],"EUR",""),"$",""),".",",")),"")</f>
        <v>2124.75</v>
      </c>
      <c r="Q524" t="s">
        <v>55</v>
      </c>
      <c r="R524" t="str">
        <f>IF(OR(Table1[[#This Row],[currency]]="EUR",Table1[[#This Row],[currency]]="€"),"EUR",IF(OR(Table1[[#This Row],[currency]]="USD",Table1[[#This Row],[currency]]="$"),"USD","Unknown"))</f>
        <v>EUR</v>
      </c>
      <c r="T524" t="str">
        <f>IFERROR(_xlfn.XLOOKUP(Table1[[#This Row],[order_status]],Table8[Original],Table8[Clean],,0,1),"Unknown")</f>
        <v>Unknown</v>
      </c>
      <c r="U524">
        <v>5</v>
      </c>
      <c r="V524">
        <f>IF(ISNUMBER(Table1[[#This Row],[delivery_days]]),Table1[[#This Row],[delivery_days]],IFERROR(_xlfn.XLOOKUP(Table1[[#This Row],[delivery_days]],Table57[Original],Table57[Clean],,0,1),"Unknown"))</f>
        <v>5</v>
      </c>
    </row>
    <row r="525" spans="1:23" x14ac:dyDescent="0.3">
      <c r="B525" t="str">
        <f>IF(ISBLANK(Table1[[#This Row],[order_id]]),"",IF(LEFT(Table1[[#This Row],[order_id]],3)="ORD",Table1[[#This Row],[order_id]],"ORD-" &amp; Table1[[#This Row],[order_id]]))</f>
        <v/>
      </c>
      <c r="C525" t="s">
        <v>1195</v>
      </c>
      <c r="D525" s="1">
        <f>IFERROR(DATEVALUE(Table1[[#This Row],[order_date]]),"")</f>
        <v>45613</v>
      </c>
      <c r="E525" t="s">
        <v>1196</v>
      </c>
      <c r="F525" t="str">
        <f>IF(ISBLANK(Table1[[#This Row],[customer_name]]),"Unknown Customer",PROPER(SUBSTITUTE(Table1[[#This Row],[customer_name]],"Cust.","Customer")))</f>
        <v>Customer 523</v>
      </c>
      <c r="G525" t="s">
        <v>32</v>
      </c>
      <c r="H525" t="str">
        <f>IFERROR(_xlfn.XLOOKUP(Table1[[#This Row],[region]],Mappings!$C$3:$C$8,Mappings!$D$3:$D$8,,0,1),"Unknown")</f>
        <v>Europe</v>
      </c>
      <c r="I525" t="s">
        <v>50</v>
      </c>
      <c r="J525" t="str">
        <f>IFERROR(_xlfn.XLOOKUP(Table1[[#This Row],[sales_channel]],Table4[Original],Table4[Clean],,0,1),"Unknown")</f>
        <v>Mobile</v>
      </c>
      <c r="K525" t="s">
        <v>15</v>
      </c>
      <c r="L525" t="str">
        <f>IFERROR(_xlfn.XLOOKUP(Table1[[#This Row],[product]],Table3[Original],Table3[Product_clean],,0,1),"Unknown")</f>
        <v>Tablet</v>
      </c>
      <c r="M525" s="6"/>
      <c r="N525" t="str">
        <f>IF(ISNUMBER(Table1[[#This Row],[quantity]]),Table1[[#This Row],[quantity]],IFERROR(VLOOKUP(Table1[[#This Row],[quantity]],Table5[#All],2,FALSE),"Unknown"))</f>
        <v>Unknown</v>
      </c>
      <c r="O525" t="s">
        <v>1197</v>
      </c>
      <c r="P525">
        <f>IFERROR(VALUE(SUBSTITUTE(SUBSTITUTE(SUBSTITUTE(Table1[[#This Row],[revenue]],"EUR",""),"$",""),".",",")),"")</f>
        <v>258.56</v>
      </c>
      <c r="R525" t="str">
        <f>IF(OR(Table1[[#This Row],[currency]]="EUR",Table1[[#This Row],[currency]]="€"),"EUR",IF(OR(Table1[[#This Row],[currency]]="USD",Table1[[#This Row],[currency]]="$"),"USD","Unknown"))</f>
        <v>Unknown</v>
      </c>
      <c r="S525" t="s">
        <v>18</v>
      </c>
      <c r="T525" t="str">
        <f>IFERROR(_xlfn.XLOOKUP(Table1[[#This Row],[order_status]],Table8[Original],Table8[Clean],,0,1),"Unknown")</f>
        <v>Pending</v>
      </c>
      <c r="U525">
        <v>2</v>
      </c>
      <c r="V525">
        <f>IF(ISNUMBER(Table1[[#This Row],[delivery_days]]),Table1[[#This Row],[delivery_days]],IFERROR(_xlfn.XLOOKUP(Table1[[#This Row],[delivery_days]],Table57[Original],Table57[Clean],,0,1),"Unknown"))</f>
        <v>2</v>
      </c>
    </row>
    <row r="526" spans="1:23" x14ac:dyDescent="0.3">
      <c r="B526" t="str">
        <f>IF(ISBLANK(Table1[[#This Row],[order_id]]),"",IF(LEFT(Table1[[#This Row],[order_id]],3)="ORD",Table1[[#This Row],[order_id]],"ORD-" &amp; Table1[[#This Row],[order_id]]))</f>
        <v/>
      </c>
      <c r="C526" t="s">
        <v>1198</v>
      </c>
      <c r="D526" s="1" t="str">
        <f>IFERROR(DATEVALUE(Table1[[#This Row],[order_date]]),"")</f>
        <v/>
      </c>
      <c r="E526" t="s">
        <v>1199</v>
      </c>
      <c r="F526" t="str">
        <f>IF(ISBLANK(Table1[[#This Row],[customer_name]]),"Unknown Customer",PROPER(SUBSTITUTE(Table1[[#This Row],[customer_name]],"Cust.","Customer")))</f>
        <v>Customer 524</v>
      </c>
      <c r="G526" t="s">
        <v>73</v>
      </c>
      <c r="H526" t="str">
        <f>IFERROR(_xlfn.XLOOKUP(Table1[[#This Row],[region]],Mappings!$C$3:$C$8,Mappings!$D$3:$D$8,,0,1),"Unknown")</f>
        <v>Europe</v>
      </c>
      <c r="I526" t="s">
        <v>78</v>
      </c>
      <c r="J526" t="str">
        <f>IFERROR(_xlfn.XLOOKUP(Table1[[#This Row],[sales_channel]],Table4[Original],Table4[Clean],,0,1),"Unknown")</f>
        <v>Mobile</v>
      </c>
      <c r="K526" t="s">
        <v>102</v>
      </c>
      <c r="L526" t="str">
        <f>IFERROR(_xlfn.XLOOKUP(Table1[[#This Row],[product]],Table3[Original],Table3[Product_clean],,0,1),"Unknown")</f>
        <v>Phone</v>
      </c>
      <c r="M526" s="6" t="s">
        <v>83</v>
      </c>
      <c r="N526">
        <f>IF(ISNUMBER(Table1[[#This Row],[quantity]]),Table1[[#This Row],[quantity]],IFERROR(VLOOKUP(Table1[[#This Row],[quantity]],Table5[#All],2,FALSE),"Unknown"))</f>
        <v>2</v>
      </c>
      <c r="O526">
        <v>2648.5</v>
      </c>
      <c r="P526">
        <f>IFERROR(VALUE(SUBSTITUTE(SUBSTITUTE(SUBSTITUTE(Table1[[#This Row],[revenue]],"EUR",""),"$",""),".",",")),"")</f>
        <v>2648.5</v>
      </c>
      <c r="R526" t="str">
        <f>IF(OR(Table1[[#This Row],[currency]]="EUR",Table1[[#This Row],[currency]]="€"),"EUR",IF(OR(Table1[[#This Row],[currency]]="USD",Table1[[#This Row],[currency]]="$"),"USD","Unknown"))</f>
        <v>Unknown</v>
      </c>
      <c r="S526" t="s">
        <v>30</v>
      </c>
      <c r="T526" t="str">
        <f>IFERROR(_xlfn.XLOOKUP(Table1[[#This Row],[order_status]],Table8[Original],Table8[Clean],,0,1),"Unknown")</f>
        <v>Delivered</v>
      </c>
      <c r="U526">
        <v>3</v>
      </c>
      <c r="V526">
        <f>IF(ISNUMBER(Table1[[#This Row],[delivery_days]]),Table1[[#This Row],[delivery_days]],IFERROR(_xlfn.XLOOKUP(Table1[[#This Row],[delivery_days]],Table57[Original],Table57[Clean],,0,1),"Unknown"))</f>
        <v>3</v>
      </c>
      <c r="W526" t="s">
        <v>24</v>
      </c>
    </row>
    <row r="527" spans="1:23" x14ac:dyDescent="0.3">
      <c r="B527" t="str">
        <f>IF(ISBLANK(Table1[[#This Row],[order_id]]),"",IF(LEFT(Table1[[#This Row],[order_id]],3)="ORD",Table1[[#This Row],[order_id]],"ORD-" &amp; Table1[[#This Row],[order_id]]))</f>
        <v/>
      </c>
      <c r="C527" t="s">
        <v>632</v>
      </c>
      <c r="D527" s="1">
        <f>IFERROR(DATEVALUE(Table1[[#This Row],[order_date]]),"")</f>
        <v>45381</v>
      </c>
      <c r="E527" t="s">
        <v>1200</v>
      </c>
      <c r="F527" t="str">
        <f>IF(ISBLANK(Table1[[#This Row],[customer_name]]),"Unknown Customer",PROPER(SUBSTITUTE(Table1[[#This Row],[customer_name]],"Cust.","Customer")))</f>
        <v>Customer 525</v>
      </c>
      <c r="G527" t="s">
        <v>26</v>
      </c>
      <c r="H527" t="str">
        <f>IFERROR(_xlfn.XLOOKUP(Table1[[#This Row],[region]],Mappings!$C$3:$C$8,Mappings!$D$3:$D$8,,0,1),"Unknown")</f>
        <v>Asia</v>
      </c>
      <c r="I527" t="s">
        <v>27</v>
      </c>
      <c r="J527" t="str">
        <f>IFERROR(_xlfn.XLOOKUP(Table1[[#This Row],[sales_channel]],Table4[Original],Table4[Clean],,0,1),"Unknown")</f>
        <v>Online</v>
      </c>
      <c r="K527" t="s">
        <v>33</v>
      </c>
      <c r="L527" t="str">
        <f>IFERROR(_xlfn.XLOOKUP(Table1[[#This Row],[product]],Table3[Original],Table3[Product_clean],,0,1),"Unknown")</f>
        <v>Tablet</v>
      </c>
      <c r="M527" s="6">
        <v>1</v>
      </c>
      <c r="N527">
        <f>IF(ISNUMBER(Table1[[#This Row],[quantity]]),Table1[[#This Row],[quantity]],IFERROR(VLOOKUP(Table1[[#This Row],[quantity]],Table5[#All],2,FALSE),"Unknown"))</f>
        <v>1</v>
      </c>
      <c r="O527">
        <v>1962.11</v>
      </c>
      <c r="P527">
        <f>IFERROR(VALUE(SUBSTITUTE(SUBSTITUTE(SUBSTITUTE(Table1[[#This Row],[revenue]],"EUR",""),"$",""),".",",")),"")</f>
        <v>1962.11</v>
      </c>
      <c r="Q527" t="s">
        <v>22</v>
      </c>
      <c r="R527" t="str">
        <f>IF(OR(Table1[[#This Row],[currency]]="EUR",Table1[[#This Row],[currency]]="€"),"EUR",IF(OR(Table1[[#This Row],[currency]]="USD",Table1[[#This Row],[currency]]="$"),"USD","Unknown"))</f>
        <v>USD</v>
      </c>
      <c r="T527" t="str">
        <f>IFERROR(_xlfn.XLOOKUP(Table1[[#This Row],[order_status]],Table8[Original],Table8[Clean],,0,1),"Unknown")</f>
        <v>Unknown</v>
      </c>
      <c r="U527" t="s">
        <v>36</v>
      </c>
      <c r="V527">
        <f>IF(ISNUMBER(Table1[[#This Row],[delivery_days]]),Table1[[#This Row],[delivery_days]],IFERROR(_xlfn.XLOOKUP(Table1[[#This Row],[delivery_days]],Table57[Original],Table57[Clean],,0,1),"Unknown"))</f>
        <v>5</v>
      </c>
      <c r="W527" t="s">
        <v>37</v>
      </c>
    </row>
    <row r="528" spans="1:23" x14ac:dyDescent="0.3">
      <c r="A528" t="s">
        <v>1201</v>
      </c>
      <c r="B528" t="str">
        <f>IF(ISBLANK(Table1[[#This Row],[order_id]]),"",IF(LEFT(Table1[[#This Row],[order_id]],3)="ORD",Table1[[#This Row],[order_id]],"ORD-" &amp; Table1[[#This Row],[order_id]]))</f>
        <v>ORD-1526</v>
      </c>
      <c r="C528" t="s">
        <v>1202</v>
      </c>
      <c r="D528" s="1" t="str">
        <f>IFERROR(DATEVALUE(Table1[[#This Row],[order_date]]),"")</f>
        <v/>
      </c>
      <c r="E528" t="s">
        <v>1203</v>
      </c>
      <c r="F528" t="str">
        <f>IF(ISBLANK(Table1[[#This Row],[customer_name]]),"Unknown Customer",PROPER(SUBSTITUTE(Table1[[#This Row],[customer_name]],"Cust.","Customer")))</f>
        <v>Customer 526</v>
      </c>
      <c r="G528" t="s">
        <v>45</v>
      </c>
      <c r="H528" t="str">
        <f>IFERROR(_xlfn.XLOOKUP(Table1[[#This Row],[region]],Mappings!$C$3:$C$8,Mappings!$D$3:$D$8,,0,1),"Unknown")</f>
        <v>USA</v>
      </c>
      <c r="J528" t="str">
        <f>IFERROR(_xlfn.XLOOKUP(Table1[[#This Row],[sales_channel]],Table4[Original],Table4[Clean],,0,1),"Unknown")</f>
        <v>Unknown</v>
      </c>
      <c r="K528" t="s">
        <v>41</v>
      </c>
      <c r="L528" t="str">
        <f>IFERROR(_xlfn.XLOOKUP(Table1[[#This Row],[product]],Table3[Original],Table3[Product_clean],,0,1),"Unknown")</f>
        <v>Phone</v>
      </c>
      <c r="M528" s="6">
        <v>3</v>
      </c>
      <c r="N528">
        <f>IF(ISNUMBER(Table1[[#This Row],[quantity]]),Table1[[#This Row],[quantity]],IFERROR(VLOOKUP(Table1[[#This Row],[quantity]],Table5[#All],2,FALSE),"Unknown"))</f>
        <v>3</v>
      </c>
      <c r="O528" t="s">
        <v>1204</v>
      </c>
      <c r="P528">
        <f>IFERROR(VALUE(SUBSTITUTE(SUBSTITUTE(SUBSTITUTE(Table1[[#This Row],[revenue]],"EUR",""),"$",""),".",",")),"")</f>
        <v>2247.8000000000002</v>
      </c>
      <c r="Q528" t="s">
        <v>17</v>
      </c>
      <c r="R528" t="str">
        <f>IF(OR(Table1[[#This Row],[currency]]="EUR",Table1[[#This Row],[currency]]="€"),"EUR",IF(OR(Table1[[#This Row],[currency]]="USD",Table1[[#This Row],[currency]]="$"),"USD","Unknown"))</f>
        <v>EUR</v>
      </c>
      <c r="S528" t="s">
        <v>30</v>
      </c>
      <c r="T528" t="str">
        <f>IFERROR(_xlfn.XLOOKUP(Table1[[#This Row],[order_status]],Table8[Original],Table8[Clean],,0,1),"Unknown")</f>
        <v>Delivered</v>
      </c>
      <c r="U528">
        <v>3</v>
      </c>
      <c r="V528">
        <f>IF(ISNUMBER(Table1[[#This Row],[delivery_days]]),Table1[[#This Row],[delivery_days]],IFERROR(_xlfn.XLOOKUP(Table1[[#This Row],[delivery_days]],Table57[Original],Table57[Clean],,0,1),"Unknown"))</f>
        <v>3</v>
      </c>
      <c r="W528" t="s">
        <v>24</v>
      </c>
    </row>
    <row r="529" spans="1:23" x14ac:dyDescent="0.3">
      <c r="A529" t="s">
        <v>1205</v>
      </c>
      <c r="B529" t="str">
        <f>IF(ISBLANK(Table1[[#This Row],[order_id]]),"",IF(LEFT(Table1[[#This Row],[order_id]],3)="ORD",Table1[[#This Row],[order_id]],"ORD-" &amp; Table1[[#This Row],[order_id]]))</f>
        <v>ORD-1527</v>
      </c>
      <c r="C529" t="s">
        <v>758</v>
      </c>
      <c r="D529" s="1" t="str">
        <f>IFERROR(DATEVALUE(Table1[[#This Row],[order_date]]),"")</f>
        <v/>
      </c>
      <c r="F529" t="str">
        <f>IF(ISBLANK(Table1[[#This Row],[customer_name]]),"Unknown Customer",PROPER(SUBSTITUTE(Table1[[#This Row],[customer_name]],"Cust.","Customer")))</f>
        <v>Unknown Customer</v>
      </c>
      <c r="G529" t="s">
        <v>45</v>
      </c>
      <c r="H529" t="str">
        <f>IFERROR(_xlfn.XLOOKUP(Table1[[#This Row],[region]],Mappings!$C$3:$C$8,Mappings!$D$3:$D$8,,0,1),"Unknown")</f>
        <v>USA</v>
      </c>
      <c r="I529" t="s">
        <v>50</v>
      </c>
      <c r="J529" t="str">
        <f>IFERROR(_xlfn.XLOOKUP(Table1[[#This Row],[sales_channel]],Table4[Original],Table4[Clean],,0,1),"Unknown")</f>
        <v>Mobile</v>
      </c>
      <c r="L529" t="str">
        <f>IFERROR(_xlfn.XLOOKUP(Table1[[#This Row],[product]],Table3[Original],Table3[Product_clean],,0,1),"Unknown")</f>
        <v>Unknown</v>
      </c>
      <c r="M529" s="6">
        <v>1</v>
      </c>
      <c r="N529">
        <f>IF(ISNUMBER(Table1[[#This Row],[quantity]]),Table1[[#This Row],[quantity]],IFERROR(VLOOKUP(Table1[[#This Row],[quantity]],Table5[#All],2,FALSE),"Unknown"))</f>
        <v>1</v>
      </c>
      <c r="O529">
        <v>1484.37</v>
      </c>
      <c r="P529">
        <f>IFERROR(VALUE(SUBSTITUTE(SUBSTITUTE(SUBSTITUTE(Table1[[#This Row],[revenue]],"EUR",""),"$",""),".",",")),"")</f>
        <v>1484.37</v>
      </c>
      <c r="Q529" t="s">
        <v>58</v>
      </c>
      <c r="R529" t="str">
        <f>IF(OR(Table1[[#This Row],[currency]]="EUR",Table1[[#This Row],[currency]]="€"),"EUR",IF(OR(Table1[[#This Row],[currency]]="USD",Table1[[#This Row],[currency]]="$"),"USD","Unknown"))</f>
        <v>USD</v>
      </c>
      <c r="S529" t="s">
        <v>47</v>
      </c>
      <c r="T529" t="str">
        <f>IFERROR(_xlfn.XLOOKUP(Table1[[#This Row],[order_status]],Table8[Original],Table8[Clean],,0,1),"Unknown")</f>
        <v>Returned</v>
      </c>
      <c r="U529">
        <v>1</v>
      </c>
      <c r="V529">
        <f>IF(ISNUMBER(Table1[[#This Row],[delivery_days]]),Table1[[#This Row],[delivery_days]],IFERROR(_xlfn.XLOOKUP(Table1[[#This Row],[delivery_days]],Table57[Original],Table57[Clean],,0,1),"Unknown"))</f>
        <v>1</v>
      </c>
    </row>
    <row r="530" spans="1:23" x14ac:dyDescent="0.3">
      <c r="A530">
        <v>1528</v>
      </c>
      <c r="B530" t="str">
        <f>IF(ISBLANK(Table1[[#This Row],[order_id]]),"",IF(LEFT(Table1[[#This Row],[order_id]],3)="ORD",Table1[[#This Row],[order_id]],"ORD-" &amp; Table1[[#This Row],[order_id]]))</f>
        <v>ORD-1528</v>
      </c>
      <c r="C530" t="s">
        <v>1206</v>
      </c>
      <c r="D530" s="1">
        <f>IFERROR(DATEVALUE(Table1[[#This Row],[order_date]]),"")</f>
        <v>45492</v>
      </c>
      <c r="E530" t="s">
        <v>1207</v>
      </c>
      <c r="F530" t="str">
        <f>IF(ISBLANK(Table1[[#This Row],[customer_name]]),"Unknown Customer",PROPER(SUBSTITUTE(Table1[[#This Row],[customer_name]],"Cust.","Customer")))</f>
        <v>Customer 528</v>
      </c>
      <c r="G530" t="s">
        <v>26</v>
      </c>
      <c r="H530" t="str">
        <f>IFERROR(_xlfn.XLOOKUP(Table1[[#This Row],[region]],Mappings!$C$3:$C$8,Mappings!$D$3:$D$8,,0,1),"Unknown")</f>
        <v>Asia</v>
      </c>
      <c r="I530" t="s">
        <v>14</v>
      </c>
      <c r="J530" t="str">
        <f>IFERROR(_xlfn.XLOOKUP(Table1[[#This Row],[sales_channel]],Table4[Original],Table4[Clean],,0,1),"Unknown")</f>
        <v>Online</v>
      </c>
      <c r="K530" t="s">
        <v>15</v>
      </c>
      <c r="L530" t="str">
        <f>IFERROR(_xlfn.XLOOKUP(Table1[[#This Row],[product]],Table3[Original],Table3[Product_clean],,0,1),"Unknown")</f>
        <v>Tablet</v>
      </c>
      <c r="M530" s="6">
        <v>2</v>
      </c>
      <c r="N530">
        <f>IF(ISNUMBER(Table1[[#This Row],[quantity]]),Table1[[#This Row],[quantity]],IFERROR(VLOOKUP(Table1[[#This Row],[quantity]],Table5[#All],2,FALSE),"Unknown"))</f>
        <v>2</v>
      </c>
      <c r="O530" t="s">
        <v>1208</v>
      </c>
      <c r="P530">
        <f>IFERROR(VALUE(SUBSTITUTE(SUBSTITUTE(SUBSTITUTE(Table1[[#This Row],[revenue]],"EUR",""),"$",""),".",",")),"")</f>
        <v>2698.94</v>
      </c>
      <c r="Q530" t="s">
        <v>22</v>
      </c>
      <c r="R530" t="str">
        <f>IF(OR(Table1[[#This Row],[currency]]="EUR",Table1[[#This Row],[currency]]="€"),"EUR",IF(OR(Table1[[#This Row],[currency]]="USD",Table1[[#This Row],[currency]]="$"),"USD","Unknown"))</f>
        <v>USD</v>
      </c>
      <c r="S530" t="s">
        <v>23</v>
      </c>
      <c r="T530" t="str">
        <f>IFERROR(_xlfn.XLOOKUP(Table1[[#This Row],[order_status]],Table8[Original],Table8[Clean],,0,1),"Unknown")</f>
        <v>Delivered</v>
      </c>
      <c r="U530">
        <v>2</v>
      </c>
      <c r="V530">
        <f>IF(ISNUMBER(Table1[[#This Row],[delivery_days]]),Table1[[#This Row],[delivery_days]],IFERROR(_xlfn.XLOOKUP(Table1[[#This Row],[delivery_days]],Table57[Original],Table57[Clean],,0,1),"Unknown"))</f>
        <v>2</v>
      </c>
    </row>
    <row r="531" spans="1:23" x14ac:dyDescent="0.3">
      <c r="A531" t="s">
        <v>1209</v>
      </c>
      <c r="B531" t="str">
        <f>IF(ISBLANK(Table1[[#This Row],[order_id]]),"",IF(LEFT(Table1[[#This Row],[order_id]],3)="ORD",Table1[[#This Row],[order_id]],"ORD-" &amp; Table1[[#This Row],[order_id]]))</f>
        <v>ORD-1529</v>
      </c>
      <c r="C531" t="s">
        <v>154</v>
      </c>
      <c r="D531" s="1" t="str">
        <f>IFERROR(DATEVALUE(Table1[[#This Row],[order_date]]),"")</f>
        <v/>
      </c>
      <c r="F531" t="str">
        <f>IF(ISBLANK(Table1[[#This Row],[customer_name]]),"Unknown Customer",PROPER(SUBSTITUTE(Table1[[#This Row],[customer_name]],"Cust.","Customer")))</f>
        <v>Unknown Customer</v>
      </c>
      <c r="G531" t="s">
        <v>32</v>
      </c>
      <c r="H531" t="str">
        <f>IFERROR(_xlfn.XLOOKUP(Table1[[#This Row],[region]],Mappings!$C$3:$C$8,Mappings!$D$3:$D$8,,0,1),"Unknown")</f>
        <v>Europe</v>
      </c>
      <c r="J531" t="str">
        <f>IFERROR(_xlfn.XLOOKUP(Table1[[#This Row],[sales_channel]],Table4[Original],Table4[Clean],,0,1),"Unknown")</f>
        <v>Unknown</v>
      </c>
      <c r="K531" t="s">
        <v>15</v>
      </c>
      <c r="L531" t="str">
        <f>IFERROR(_xlfn.XLOOKUP(Table1[[#This Row],[product]],Table3[Original],Table3[Product_clean],,0,1),"Unknown")</f>
        <v>Tablet</v>
      </c>
      <c r="M531" s="6">
        <v>1</v>
      </c>
      <c r="N531">
        <f>IF(ISNUMBER(Table1[[#This Row],[quantity]]),Table1[[#This Row],[quantity]],IFERROR(VLOOKUP(Table1[[#This Row],[quantity]],Table5[#All],2,FALSE),"Unknown"))</f>
        <v>1</v>
      </c>
      <c r="O531" t="s">
        <v>1210</v>
      </c>
      <c r="P531">
        <f>IFERROR(VALUE(SUBSTITUTE(SUBSTITUTE(SUBSTITUTE(Table1[[#This Row],[revenue]],"EUR",""),"$",""),".",",")),"")</f>
        <v>1278.78</v>
      </c>
      <c r="Q531" t="s">
        <v>55</v>
      </c>
      <c r="R531" t="str">
        <f>IF(OR(Table1[[#This Row],[currency]]="EUR",Table1[[#This Row],[currency]]="€"),"EUR",IF(OR(Table1[[#This Row],[currency]]="USD",Table1[[#This Row],[currency]]="$"),"USD","Unknown"))</f>
        <v>EUR</v>
      </c>
      <c r="S531" t="s">
        <v>23</v>
      </c>
      <c r="T531" t="str">
        <f>IFERROR(_xlfn.XLOOKUP(Table1[[#This Row],[order_status]],Table8[Original],Table8[Clean],,0,1),"Unknown")</f>
        <v>Delivered</v>
      </c>
      <c r="U531">
        <v>1</v>
      </c>
      <c r="V531">
        <f>IF(ISNUMBER(Table1[[#This Row],[delivery_days]]),Table1[[#This Row],[delivery_days]],IFERROR(_xlfn.XLOOKUP(Table1[[#This Row],[delivery_days]],Table57[Original],Table57[Clean],,0,1),"Unknown"))</f>
        <v>1</v>
      </c>
    </row>
    <row r="532" spans="1:23" x14ac:dyDescent="0.3">
      <c r="A532" t="s">
        <v>1211</v>
      </c>
      <c r="B532" t="str">
        <f>IF(ISBLANK(Table1[[#This Row],[order_id]]),"",IF(LEFT(Table1[[#This Row],[order_id]],3)="ORD",Table1[[#This Row],[order_id]],"ORD-" &amp; Table1[[#This Row],[order_id]]))</f>
        <v>ORD-1530</v>
      </c>
      <c r="C532" t="s">
        <v>1212</v>
      </c>
      <c r="D532" s="1" t="str">
        <f>IFERROR(DATEVALUE(Table1[[#This Row],[order_date]]),"")</f>
        <v/>
      </c>
      <c r="E532" t="s">
        <v>1213</v>
      </c>
      <c r="F532" t="str">
        <f>IF(ISBLANK(Table1[[#This Row],[customer_name]]),"Unknown Customer",PROPER(SUBSTITUTE(Table1[[#This Row],[customer_name]],"Cust.","Customer")))</f>
        <v>Customer 530</v>
      </c>
      <c r="G532" t="s">
        <v>32</v>
      </c>
      <c r="H532" t="str">
        <f>IFERROR(_xlfn.XLOOKUP(Table1[[#This Row],[region]],Mappings!$C$3:$C$8,Mappings!$D$3:$D$8,,0,1),"Unknown")</f>
        <v>Europe</v>
      </c>
      <c r="I532" t="s">
        <v>68</v>
      </c>
      <c r="J532" t="str">
        <f>IFERROR(_xlfn.XLOOKUP(Table1[[#This Row],[sales_channel]],Table4[Original],Table4[Clean],,0,1),"Unknown")</f>
        <v>Online</v>
      </c>
      <c r="K532" t="s">
        <v>15</v>
      </c>
      <c r="L532" t="str">
        <f>IFERROR(_xlfn.XLOOKUP(Table1[[#This Row],[product]],Table3[Original],Table3[Product_clean],,0,1),"Unknown")</f>
        <v>Tablet</v>
      </c>
      <c r="M532" s="6"/>
      <c r="N532" t="str">
        <f>IF(ISNUMBER(Table1[[#This Row],[quantity]]),Table1[[#This Row],[quantity]],IFERROR(VLOOKUP(Table1[[#This Row],[quantity]],Table5[#All],2,FALSE),"Unknown"))</f>
        <v>Unknown</v>
      </c>
      <c r="O532" t="s">
        <v>1214</v>
      </c>
      <c r="P532">
        <f>IFERROR(VALUE(SUBSTITUTE(SUBSTITUTE(SUBSTITUTE(Table1[[#This Row],[revenue]],"EUR",""),"$",""),".",",")),"")</f>
        <v>735.37</v>
      </c>
      <c r="R532" t="str">
        <f>IF(OR(Table1[[#This Row],[currency]]="EUR",Table1[[#This Row],[currency]]="€"),"EUR",IF(OR(Table1[[#This Row],[currency]]="USD",Table1[[#This Row],[currency]]="$"),"USD","Unknown"))</f>
        <v>Unknown</v>
      </c>
      <c r="S532" t="s">
        <v>47</v>
      </c>
      <c r="T532" t="str">
        <f>IFERROR(_xlfn.XLOOKUP(Table1[[#This Row],[order_status]],Table8[Original],Table8[Clean],,0,1),"Unknown")</f>
        <v>Returned</v>
      </c>
      <c r="U532">
        <v>5</v>
      </c>
      <c r="V532">
        <f>IF(ISNUMBER(Table1[[#This Row],[delivery_days]]),Table1[[#This Row],[delivery_days]],IFERROR(_xlfn.XLOOKUP(Table1[[#This Row],[delivery_days]],Table57[Original],Table57[Clean],,0,1),"Unknown"))</f>
        <v>5</v>
      </c>
      <c r="W532" t="s">
        <v>24</v>
      </c>
    </row>
    <row r="533" spans="1:23" x14ac:dyDescent="0.3">
      <c r="A533">
        <v>1531</v>
      </c>
      <c r="B533" t="str">
        <f>IF(ISBLANK(Table1[[#This Row],[order_id]]),"",IF(LEFT(Table1[[#This Row],[order_id]],3)="ORD",Table1[[#This Row],[order_id]],"ORD-" &amp; Table1[[#This Row],[order_id]]))</f>
        <v>ORD-1531</v>
      </c>
      <c r="C533" t="s">
        <v>1215</v>
      </c>
      <c r="D533" s="1" t="str">
        <f>IFERROR(DATEVALUE(Table1[[#This Row],[order_date]]),"")</f>
        <v/>
      </c>
      <c r="E533" t="s">
        <v>1216</v>
      </c>
      <c r="F533" t="str">
        <f>IF(ISBLANK(Table1[[#This Row],[customer_name]]),"Unknown Customer",PROPER(SUBSTITUTE(Table1[[#This Row],[customer_name]],"Cust.","Customer")))</f>
        <v>Customer 531</v>
      </c>
      <c r="G533" t="s">
        <v>32</v>
      </c>
      <c r="H533" t="str">
        <f>IFERROR(_xlfn.XLOOKUP(Table1[[#This Row],[region]],Mappings!$C$3:$C$8,Mappings!$D$3:$D$8,,0,1),"Unknown")</f>
        <v>Europe</v>
      </c>
      <c r="I533" t="s">
        <v>50</v>
      </c>
      <c r="J533" t="str">
        <f>IFERROR(_xlfn.XLOOKUP(Table1[[#This Row],[sales_channel]],Table4[Original],Table4[Clean],,0,1),"Unknown")</f>
        <v>Mobile</v>
      </c>
      <c r="K533" t="s">
        <v>102</v>
      </c>
      <c r="L533" t="str">
        <f>IFERROR(_xlfn.XLOOKUP(Table1[[#This Row],[product]],Table3[Original],Table3[Product_clean],,0,1),"Unknown")</f>
        <v>Phone</v>
      </c>
      <c r="M533" s="6">
        <v>1</v>
      </c>
      <c r="N533">
        <f>IF(ISNUMBER(Table1[[#This Row],[quantity]]),Table1[[#This Row],[quantity]],IFERROR(VLOOKUP(Table1[[#This Row],[quantity]],Table5[#All],2,FALSE),"Unknown"))</f>
        <v>1</v>
      </c>
      <c r="O533" t="s">
        <v>1217</v>
      </c>
      <c r="P533">
        <f>IFERROR(VALUE(SUBSTITUTE(SUBSTITUTE(SUBSTITUTE(Table1[[#This Row],[revenue]],"EUR",""),"$",""),".",",")),"")</f>
        <v>439.27</v>
      </c>
      <c r="Q533" t="s">
        <v>58</v>
      </c>
      <c r="R533" t="str">
        <f>IF(OR(Table1[[#This Row],[currency]]="EUR",Table1[[#This Row],[currency]]="€"),"EUR",IF(OR(Table1[[#This Row],[currency]]="USD",Table1[[#This Row],[currency]]="$"),"USD","Unknown"))</f>
        <v>USD</v>
      </c>
      <c r="S533" t="s">
        <v>35</v>
      </c>
      <c r="T533" t="str">
        <f>IFERROR(_xlfn.XLOOKUP(Table1[[#This Row],[order_status]],Table8[Original],Table8[Clean],,0,1),"Unknown")</f>
        <v>Returned</v>
      </c>
      <c r="U533">
        <v>3</v>
      </c>
      <c r="V533">
        <f>IF(ISNUMBER(Table1[[#This Row],[delivery_days]]),Table1[[#This Row],[delivery_days]],IFERROR(_xlfn.XLOOKUP(Table1[[#This Row],[delivery_days]],Table57[Original],Table57[Clean],,0,1),"Unknown"))</f>
        <v>3</v>
      </c>
    </row>
    <row r="534" spans="1:23" x14ac:dyDescent="0.3">
      <c r="B534" t="str">
        <f>IF(ISBLANK(Table1[[#This Row],[order_id]]),"",IF(LEFT(Table1[[#This Row],[order_id]],3)="ORD",Table1[[#This Row],[order_id]],"ORD-" &amp; Table1[[#This Row],[order_id]]))</f>
        <v/>
      </c>
      <c r="C534" t="s">
        <v>1218</v>
      </c>
      <c r="D534" s="1" t="str">
        <f>IFERROR(DATEVALUE(Table1[[#This Row],[order_date]]),"")</f>
        <v/>
      </c>
      <c r="E534" t="s">
        <v>1219</v>
      </c>
      <c r="F534" t="str">
        <f>IF(ISBLANK(Table1[[#This Row],[customer_name]]),"Unknown Customer",PROPER(SUBSTITUTE(Table1[[#This Row],[customer_name]],"Cust.","Customer")))</f>
        <v>Customer 532</v>
      </c>
      <c r="G534" t="s">
        <v>54</v>
      </c>
      <c r="H534" t="str">
        <f>IFERROR(_xlfn.XLOOKUP(Table1[[#This Row],[region]],Mappings!$C$3:$C$8,Mappings!$D$3:$D$8,,0,1),"Unknown")</f>
        <v>USA</v>
      </c>
      <c r="J534" t="str">
        <f>IFERROR(_xlfn.XLOOKUP(Table1[[#This Row],[sales_channel]],Table4[Original],Table4[Clean],,0,1),"Unknown")</f>
        <v>Unknown</v>
      </c>
      <c r="K534" t="s">
        <v>15</v>
      </c>
      <c r="L534" t="str">
        <f>IFERROR(_xlfn.XLOOKUP(Table1[[#This Row],[product]],Table3[Original],Table3[Product_clean],,0,1),"Unknown")</f>
        <v>Tablet</v>
      </c>
      <c r="M534" s="6">
        <v>2</v>
      </c>
      <c r="N534">
        <f>IF(ISNUMBER(Table1[[#This Row],[quantity]]),Table1[[#This Row],[quantity]],IFERROR(VLOOKUP(Table1[[#This Row],[quantity]],Table5[#All],2,FALSE),"Unknown"))</f>
        <v>2</v>
      </c>
      <c r="O534" t="s">
        <v>1220</v>
      </c>
      <c r="P534">
        <f>IFERROR(VALUE(SUBSTITUTE(SUBSTITUTE(SUBSTITUTE(Table1[[#This Row],[revenue]],"EUR",""),"$",""),".",",")),"")</f>
        <v>1874.96</v>
      </c>
      <c r="Q534" t="s">
        <v>58</v>
      </c>
      <c r="R534" t="str">
        <f>IF(OR(Table1[[#This Row],[currency]]="EUR",Table1[[#This Row],[currency]]="€"),"EUR",IF(OR(Table1[[#This Row],[currency]]="USD",Table1[[#This Row],[currency]]="$"),"USD","Unknown"))</f>
        <v>USD</v>
      </c>
      <c r="S534" t="s">
        <v>23</v>
      </c>
      <c r="T534" t="str">
        <f>IFERROR(_xlfn.XLOOKUP(Table1[[#This Row],[order_status]],Table8[Original],Table8[Clean],,0,1),"Unknown")</f>
        <v>Delivered</v>
      </c>
      <c r="U534">
        <v>1</v>
      </c>
      <c r="V534">
        <f>IF(ISNUMBER(Table1[[#This Row],[delivery_days]]),Table1[[#This Row],[delivery_days]],IFERROR(_xlfn.XLOOKUP(Table1[[#This Row],[delivery_days]],Table57[Original],Table57[Clean],,0,1),"Unknown"))</f>
        <v>1</v>
      </c>
    </row>
    <row r="535" spans="1:23" x14ac:dyDescent="0.3">
      <c r="A535" t="s">
        <v>1221</v>
      </c>
      <c r="B535" t="str">
        <f>IF(ISBLANK(Table1[[#This Row],[order_id]]),"",IF(LEFT(Table1[[#This Row],[order_id]],3)="ORD",Table1[[#This Row],[order_id]],"ORD-" &amp; Table1[[#This Row],[order_id]]))</f>
        <v>ORD-1533</v>
      </c>
      <c r="C535" t="s">
        <v>1222</v>
      </c>
      <c r="D535" s="1">
        <f>IFERROR(DATEVALUE(Table1[[#This Row],[order_date]]),"")</f>
        <v>45602</v>
      </c>
      <c r="E535" t="s">
        <v>1223</v>
      </c>
      <c r="F535" t="str">
        <f>IF(ISBLANK(Table1[[#This Row],[customer_name]]),"Unknown Customer",PROPER(SUBSTITUTE(Table1[[#This Row],[customer_name]],"Cust.","Customer")))</f>
        <v>Customer 533</v>
      </c>
      <c r="G535" t="s">
        <v>54</v>
      </c>
      <c r="H535" t="str">
        <f>IFERROR(_xlfn.XLOOKUP(Table1[[#This Row],[region]],Mappings!$C$3:$C$8,Mappings!$D$3:$D$8,,0,1),"Unknown")</f>
        <v>USA</v>
      </c>
      <c r="I535" t="s">
        <v>68</v>
      </c>
      <c r="J535" t="str">
        <f>IFERROR(_xlfn.XLOOKUP(Table1[[#This Row],[sales_channel]],Table4[Original],Table4[Clean],,0,1),"Unknown")</f>
        <v>Online</v>
      </c>
      <c r="K535" t="s">
        <v>15</v>
      </c>
      <c r="L535" t="str">
        <f>IFERROR(_xlfn.XLOOKUP(Table1[[#This Row],[product]],Table3[Original],Table3[Product_clean],,0,1),"Unknown")</f>
        <v>Tablet</v>
      </c>
      <c r="M535" s="6">
        <v>1</v>
      </c>
      <c r="N535">
        <f>IF(ISNUMBER(Table1[[#This Row],[quantity]]),Table1[[#This Row],[quantity]],IFERROR(VLOOKUP(Table1[[#This Row],[quantity]],Table5[#All],2,FALSE),"Unknown"))</f>
        <v>1</v>
      </c>
      <c r="P535" t="str">
        <f>IFERROR(VALUE(SUBSTITUTE(SUBSTITUTE(SUBSTITUTE(Table1[[#This Row],[revenue]],"EUR",""),"$",""),".",",")),"")</f>
        <v/>
      </c>
      <c r="Q535" t="s">
        <v>55</v>
      </c>
      <c r="R535" t="str">
        <f>IF(OR(Table1[[#This Row],[currency]]="EUR",Table1[[#This Row],[currency]]="€"),"EUR",IF(OR(Table1[[#This Row],[currency]]="USD",Table1[[#This Row],[currency]]="$"),"USD","Unknown"))</f>
        <v>EUR</v>
      </c>
      <c r="S535" t="s">
        <v>35</v>
      </c>
      <c r="T535" t="str">
        <f>IFERROR(_xlfn.XLOOKUP(Table1[[#This Row],[order_status]],Table8[Original],Table8[Clean],,0,1),"Unknown")</f>
        <v>Returned</v>
      </c>
      <c r="U535">
        <v>2</v>
      </c>
      <c r="V535">
        <f>IF(ISNUMBER(Table1[[#This Row],[delivery_days]]),Table1[[#This Row],[delivery_days]],IFERROR(_xlfn.XLOOKUP(Table1[[#This Row],[delivery_days]],Table57[Original],Table57[Clean],,0,1),"Unknown"))</f>
        <v>2</v>
      </c>
      <c r="W535" t="s">
        <v>24</v>
      </c>
    </row>
    <row r="536" spans="1:23" x14ac:dyDescent="0.3">
      <c r="B536" t="str">
        <f>IF(ISBLANK(Table1[[#This Row],[order_id]]),"",IF(LEFT(Table1[[#This Row],[order_id]],3)="ORD",Table1[[#This Row],[order_id]],"ORD-" &amp; Table1[[#This Row],[order_id]]))</f>
        <v/>
      </c>
      <c r="C536" t="s">
        <v>1224</v>
      </c>
      <c r="D536" s="1" t="str">
        <f>IFERROR(DATEVALUE(Table1[[#This Row],[order_date]]),"")</f>
        <v/>
      </c>
      <c r="E536" t="s">
        <v>1225</v>
      </c>
      <c r="F536" t="str">
        <f>IF(ISBLANK(Table1[[#This Row],[customer_name]]),"Unknown Customer",PROPER(SUBSTITUTE(Table1[[#This Row],[customer_name]],"Cust.","Customer")))</f>
        <v>Customer 534</v>
      </c>
      <c r="G536" t="s">
        <v>73</v>
      </c>
      <c r="H536" t="str">
        <f>IFERROR(_xlfn.XLOOKUP(Table1[[#This Row],[region]],Mappings!$C$3:$C$8,Mappings!$D$3:$D$8,,0,1),"Unknown")</f>
        <v>Europe</v>
      </c>
      <c r="I536" t="s">
        <v>78</v>
      </c>
      <c r="J536" t="str">
        <f>IFERROR(_xlfn.XLOOKUP(Table1[[#This Row],[sales_channel]],Table4[Original],Table4[Clean],,0,1),"Unknown")</f>
        <v>Mobile</v>
      </c>
      <c r="K536" t="s">
        <v>41</v>
      </c>
      <c r="L536" t="str">
        <f>IFERROR(_xlfn.XLOOKUP(Table1[[#This Row],[product]],Table3[Original],Table3[Product_clean],,0,1),"Unknown")</f>
        <v>Phone</v>
      </c>
      <c r="M536" s="6">
        <v>2</v>
      </c>
      <c r="N536">
        <f>IF(ISNUMBER(Table1[[#This Row],[quantity]]),Table1[[#This Row],[quantity]],IFERROR(VLOOKUP(Table1[[#This Row],[quantity]],Table5[#All],2,FALSE),"Unknown"))</f>
        <v>2</v>
      </c>
      <c r="O536" t="s">
        <v>1226</v>
      </c>
      <c r="P536">
        <f>IFERROR(VALUE(SUBSTITUTE(SUBSTITUTE(SUBSTITUTE(Table1[[#This Row],[revenue]],"EUR",""),"$",""),".",",")),"")</f>
        <v>1642.61</v>
      </c>
      <c r="Q536" t="s">
        <v>22</v>
      </c>
      <c r="R536" t="str">
        <f>IF(OR(Table1[[#This Row],[currency]]="EUR",Table1[[#This Row],[currency]]="€"),"EUR",IF(OR(Table1[[#This Row],[currency]]="USD",Table1[[#This Row],[currency]]="$"),"USD","Unknown"))</f>
        <v>USD</v>
      </c>
      <c r="S536" t="s">
        <v>35</v>
      </c>
      <c r="T536" t="str">
        <f>IFERROR(_xlfn.XLOOKUP(Table1[[#This Row],[order_status]],Table8[Original],Table8[Clean],,0,1),"Unknown")</f>
        <v>Returned</v>
      </c>
      <c r="U536">
        <v>2</v>
      </c>
      <c r="V536">
        <f>IF(ISNUMBER(Table1[[#This Row],[delivery_days]]),Table1[[#This Row],[delivery_days]],IFERROR(_xlfn.XLOOKUP(Table1[[#This Row],[delivery_days]],Table57[Original],Table57[Clean],,0,1),"Unknown"))</f>
        <v>2</v>
      </c>
    </row>
    <row r="537" spans="1:23" x14ac:dyDescent="0.3">
      <c r="B537" t="str">
        <f>IF(ISBLANK(Table1[[#This Row],[order_id]]),"",IF(LEFT(Table1[[#This Row],[order_id]],3)="ORD",Table1[[#This Row],[order_id]],"ORD-" &amp; Table1[[#This Row],[order_id]]))</f>
        <v/>
      </c>
      <c r="C537" t="s">
        <v>1227</v>
      </c>
      <c r="D537" s="1" t="str">
        <f>IFERROR(DATEVALUE(Table1[[#This Row],[order_date]]),"")</f>
        <v/>
      </c>
      <c r="F537" t="str">
        <f>IF(ISBLANK(Table1[[#This Row],[customer_name]]),"Unknown Customer",PROPER(SUBSTITUTE(Table1[[#This Row],[customer_name]],"Cust.","Customer")))</f>
        <v>Unknown Customer</v>
      </c>
      <c r="G537" t="s">
        <v>26</v>
      </c>
      <c r="H537" t="str">
        <f>IFERROR(_xlfn.XLOOKUP(Table1[[#This Row],[region]],Mappings!$C$3:$C$8,Mappings!$D$3:$D$8,,0,1),"Unknown")</f>
        <v>Asia</v>
      </c>
      <c r="I537" t="s">
        <v>68</v>
      </c>
      <c r="J537" t="str">
        <f>IFERROR(_xlfn.XLOOKUP(Table1[[#This Row],[sales_channel]],Table4[Original],Table4[Clean],,0,1),"Unknown")</f>
        <v>Online</v>
      </c>
      <c r="K537" t="s">
        <v>15</v>
      </c>
      <c r="L537" t="str">
        <f>IFERROR(_xlfn.XLOOKUP(Table1[[#This Row],[product]],Table3[Original],Table3[Product_clean],,0,1),"Unknown")</f>
        <v>Tablet</v>
      </c>
      <c r="M537" s="6">
        <v>2</v>
      </c>
      <c r="N537">
        <f>IF(ISNUMBER(Table1[[#This Row],[quantity]]),Table1[[#This Row],[quantity]],IFERROR(VLOOKUP(Table1[[#This Row],[quantity]],Table5[#All],2,FALSE),"Unknown"))</f>
        <v>2</v>
      </c>
      <c r="O537" t="s">
        <v>1228</v>
      </c>
      <c r="P537">
        <f>IFERROR(VALUE(SUBSTITUTE(SUBSTITUTE(SUBSTITUTE(Table1[[#This Row],[revenue]],"EUR",""),"$",""),".",",")),"")</f>
        <v>1661.13</v>
      </c>
      <c r="R537" t="str">
        <f>IF(OR(Table1[[#This Row],[currency]]="EUR",Table1[[#This Row],[currency]]="€"),"EUR",IF(OR(Table1[[#This Row],[currency]]="USD",Table1[[#This Row],[currency]]="$"),"USD","Unknown"))</f>
        <v>Unknown</v>
      </c>
      <c r="T537" t="str">
        <f>IFERROR(_xlfn.XLOOKUP(Table1[[#This Row],[order_status]],Table8[Original],Table8[Clean],,0,1),"Unknown")</f>
        <v>Unknown</v>
      </c>
      <c r="U537">
        <v>5</v>
      </c>
      <c r="V537">
        <f>IF(ISNUMBER(Table1[[#This Row],[delivery_days]]),Table1[[#This Row],[delivery_days]],IFERROR(_xlfn.XLOOKUP(Table1[[#This Row],[delivery_days]],Table57[Original],Table57[Clean],,0,1),"Unknown"))</f>
        <v>5</v>
      </c>
      <c r="W537" t="s">
        <v>24</v>
      </c>
    </row>
    <row r="538" spans="1:23" x14ac:dyDescent="0.3">
      <c r="A538">
        <v>1536</v>
      </c>
      <c r="B538" t="str">
        <f>IF(ISBLANK(Table1[[#This Row],[order_id]]),"",IF(LEFT(Table1[[#This Row],[order_id]],3)="ORD",Table1[[#This Row],[order_id]],"ORD-" &amp; Table1[[#This Row],[order_id]]))</f>
        <v>ORD-1536</v>
      </c>
      <c r="C538" t="s">
        <v>1229</v>
      </c>
      <c r="D538" s="1">
        <f>IFERROR(DATEVALUE(Table1[[#This Row],[order_date]]),"")</f>
        <v>45644</v>
      </c>
      <c r="E538" t="s">
        <v>1230</v>
      </c>
      <c r="F538" t="str">
        <f>IF(ISBLANK(Table1[[#This Row],[customer_name]]),"Unknown Customer",PROPER(SUBSTITUTE(Table1[[#This Row],[customer_name]],"Cust.","Customer")))</f>
        <v>Customer 536</v>
      </c>
      <c r="G538" t="s">
        <v>26</v>
      </c>
      <c r="H538" t="str">
        <f>IFERROR(_xlfn.XLOOKUP(Table1[[#This Row],[region]],Mappings!$C$3:$C$8,Mappings!$D$3:$D$8,,0,1),"Unknown")</f>
        <v>Asia</v>
      </c>
      <c r="I538" t="s">
        <v>14</v>
      </c>
      <c r="J538" t="str">
        <f>IFERROR(_xlfn.XLOOKUP(Table1[[#This Row],[sales_channel]],Table4[Original],Table4[Clean],,0,1),"Unknown")</f>
        <v>Online</v>
      </c>
      <c r="K538" t="s">
        <v>41</v>
      </c>
      <c r="L538" t="str">
        <f>IFERROR(_xlfn.XLOOKUP(Table1[[#This Row],[product]],Table3[Original],Table3[Product_clean],,0,1),"Unknown")</f>
        <v>Phone</v>
      </c>
      <c r="M538" s="6"/>
      <c r="N538" t="str">
        <f>IF(ISNUMBER(Table1[[#This Row],[quantity]]),Table1[[#This Row],[quantity]],IFERROR(VLOOKUP(Table1[[#This Row],[quantity]],Table5[#All],2,FALSE),"Unknown"))</f>
        <v>Unknown</v>
      </c>
      <c r="P538" t="str">
        <f>IFERROR(VALUE(SUBSTITUTE(SUBSTITUTE(SUBSTITUTE(Table1[[#This Row],[revenue]],"EUR",""),"$",""),".",",")),"")</f>
        <v/>
      </c>
      <c r="Q538" t="s">
        <v>58</v>
      </c>
      <c r="R538" t="str">
        <f>IF(OR(Table1[[#This Row],[currency]]="EUR",Table1[[#This Row],[currency]]="€"),"EUR",IF(OR(Table1[[#This Row],[currency]]="USD",Table1[[#This Row],[currency]]="$"),"USD","Unknown"))</f>
        <v>USD</v>
      </c>
      <c r="S538" t="s">
        <v>47</v>
      </c>
      <c r="T538" t="str">
        <f>IFERROR(_xlfn.XLOOKUP(Table1[[#This Row],[order_status]],Table8[Original],Table8[Clean],,0,1),"Unknown")</f>
        <v>Returned</v>
      </c>
      <c r="U538">
        <v>3</v>
      </c>
      <c r="V538">
        <f>IF(ISNUMBER(Table1[[#This Row],[delivery_days]]),Table1[[#This Row],[delivery_days]],IFERROR(_xlfn.XLOOKUP(Table1[[#This Row],[delivery_days]],Table57[Original],Table57[Clean],,0,1),"Unknown"))</f>
        <v>3</v>
      </c>
    </row>
    <row r="539" spans="1:23" x14ac:dyDescent="0.3">
      <c r="B539" t="str">
        <f>IF(ISBLANK(Table1[[#This Row],[order_id]]),"",IF(LEFT(Table1[[#This Row],[order_id]],3)="ORD",Table1[[#This Row],[order_id]],"ORD-" &amp; Table1[[#This Row],[order_id]]))</f>
        <v/>
      </c>
      <c r="C539" t="s">
        <v>1231</v>
      </c>
      <c r="D539" s="1">
        <f>IFERROR(DATEVALUE(Table1[[#This Row],[order_date]]),"")</f>
        <v>45459</v>
      </c>
      <c r="E539" t="s">
        <v>1232</v>
      </c>
      <c r="F539" t="str">
        <f>IF(ISBLANK(Table1[[#This Row],[customer_name]]),"Unknown Customer",PROPER(SUBSTITUTE(Table1[[#This Row],[customer_name]],"Cust.","Customer")))</f>
        <v>Customer 537</v>
      </c>
      <c r="G539" t="s">
        <v>54</v>
      </c>
      <c r="H539" t="str">
        <f>IFERROR(_xlfn.XLOOKUP(Table1[[#This Row],[region]],Mappings!$C$3:$C$8,Mappings!$D$3:$D$8,,0,1),"Unknown")</f>
        <v>USA</v>
      </c>
      <c r="I539" t="s">
        <v>14</v>
      </c>
      <c r="J539" t="str">
        <f>IFERROR(_xlfn.XLOOKUP(Table1[[#This Row],[sales_channel]],Table4[Original],Table4[Clean],,0,1),"Unknown")</f>
        <v>Online</v>
      </c>
      <c r="K539" t="s">
        <v>51</v>
      </c>
      <c r="L539" t="str">
        <f>IFERROR(_xlfn.XLOOKUP(Table1[[#This Row],[product]],Table3[Original],Table3[Product_clean],,0,1),"Unknown")</f>
        <v>Laptop</v>
      </c>
      <c r="M539" s="6"/>
      <c r="N539" t="str">
        <f>IF(ISNUMBER(Table1[[#This Row],[quantity]]),Table1[[#This Row],[quantity]],IFERROR(VLOOKUP(Table1[[#This Row],[quantity]],Table5[#All],2,FALSE),"Unknown"))</f>
        <v>Unknown</v>
      </c>
      <c r="O539" t="s">
        <v>1233</v>
      </c>
      <c r="P539">
        <f>IFERROR(VALUE(SUBSTITUTE(SUBSTITUTE(SUBSTITUTE(Table1[[#This Row],[revenue]],"EUR",""),"$",""),".",",")),"")</f>
        <v>212.35</v>
      </c>
      <c r="Q539" t="s">
        <v>22</v>
      </c>
      <c r="R539" t="str">
        <f>IF(OR(Table1[[#This Row],[currency]]="EUR",Table1[[#This Row],[currency]]="€"),"EUR",IF(OR(Table1[[#This Row],[currency]]="USD",Table1[[#This Row],[currency]]="$"),"USD","Unknown"))</f>
        <v>USD</v>
      </c>
      <c r="T539" t="str">
        <f>IFERROR(_xlfn.XLOOKUP(Table1[[#This Row],[order_status]],Table8[Original],Table8[Clean],,0,1),"Unknown")</f>
        <v>Unknown</v>
      </c>
      <c r="V539" t="str">
        <f>IF(ISNUMBER(Table1[[#This Row],[delivery_days]]),Table1[[#This Row],[delivery_days]],IFERROR(_xlfn.XLOOKUP(Table1[[#This Row],[delivery_days]],Table57[Original],Table57[Clean],,0,1),"Unknown"))</f>
        <v>Unknown</v>
      </c>
    </row>
    <row r="540" spans="1:23" x14ac:dyDescent="0.3">
      <c r="A540" t="s">
        <v>1234</v>
      </c>
      <c r="B540" t="str">
        <f>IF(ISBLANK(Table1[[#This Row],[order_id]]),"",IF(LEFT(Table1[[#This Row],[order_id]],3)="ORD",Table1[[#This Row],[order_id]],"ORD-" &amp; Table1[[#This Row],[order_id]]))</f>
        <v>ORD-1538</v>
      </c>
      <c r="C540" t="s">
        <v>1235</v>
      </c>
      <c r="D540" s="1">
        <f>IFERROR(DATEVALUE(Table1[[#This Row],[order_date]]),"")</f>
        <v>45554</v>
      </c>
      <c r="E540" t="s">
        <v>1236</v>
      </c>
      <c r="F540" t="str">
        <f>IF(ISBLANK(Table1[[#This Row],[customer_name]]),"Unknown Customer",PROPER(SUBSTITUTE(Table1[[#This Row],[customer_name]],"Cust.","Customer")))</f>
        <v>Customer 538</v>
      </c>
      <c r="G540" t="s">
        <v>32</v>
      </c>
      <c r="H540" t="str">
        <f>IFERROR(_xlfn.XLOOKUP(Table1[[#This Row],[region]],Mappings!$C$3:$C$8,Mappings!$D$3:$D$8,,0,1),"Unknown")</f>
        <v>Europe</v>
      </c>
      <c r="I540" t="s">
        <v>27</v>
      </c>
      <c r="J540" t="str">
        <f>IFERROR(_xlfn.XLOOKUP(Table1[[#This Row],[sales_channel]],Table4[Original],Table4[Clean],,0,1),"Unknown")</f>
        <v>Online</v>
      </c>
      <c r="K540" t="s">
        <v>15</v>
      </c>
      <c r="L540" t="str">
        <f>IFERROR(_xlfn.XLOOKUP(Table1[[#This Row],[product]],Table3[Original],Table3[Product_clean],,0,1),"Unknown")</f>
        <v>Tablet</v>
      </c>
      <c r="M540" s="6" t="s">
        <v>83</v>
      </c>
      <c r="N540">
        <f>IF(ISNUMBER(Table1[[#This Row],[quantity]]),Table1[[#This Row],[quantity]],IFERROR(VLOOKUP(Table1[[#This Row],[quantity]],Table5[#All],2,FALSE),"Unknown"))</f>
        <v>2</v>
      </c>
      <c r="P540" t="str">
        <f>IFERROR(VALUE(SUBSTITUTE(SUBSTITUTE(SUBSTITUTE(Table1[[#This Row],[revenue]],"EUR",""),"$",""),".",",")),"")</f>
        <v/>
      </c>
      <c r="Q540" t="s">
        <v>55</v>
      </c>
      <c r="R540" t="str">
        <f>IF(OR(Table1[[#This Row],[currency]]="EUR",Table1[[#This Row],[currency]]="€"),"EUR",IF(OR(Table1[[#This Row],[currency]]="USD",Table1[[#This Row],[currency]]="$"),"USD","Unknown"))</f>
        <v>EUR</v>
      </c>
      <c r="S540" t="s">
        <v>47</v>
      </c>
      <c r="T540" t="str">
        <f>IFERROR(_xlfn.XLOOKUP(Table1[[#This Row],[order_status]],Table8[Original],Table8[Clean],,0,1),"Unknown")</f>
        <v>Returned</v>
      </c>
      <c r="U540">
        <v>3</v>
      </c>
      <c r="V540">
        <f>IF(ISNUMBER(Table1[[#This Row],[delivery_days]]),Table1[[#This Row],[delivery_days]],IFERROR(_xlfn.XLOOKUP(Table1[[#This Row],[delivery_days]],Table57[Original],Table57[Clean],,0,1),"Unknown"))</f>
        <v>3</v>
      </c>
    </row>
    <row r="541" spans="1:23" x14ac:dyDescent="0.3">
      <c r="A541" t="s">
        <v>1237</v>
      </c>
      <c r="B541" t="str">
        <f>IF(ISBLANK(Table1[[#This Row],[order_id]]),"",IF(LEFT(Table1[[#This Row],[order_id]],3)="ORD",Table1[[#This Row],[order_id]],"ORD-" &amp; Table1[[#This Row],[order_id]]))</f>
        <v>ORD-1539</v>
      </c>
      <c r="C541" t="s">
        <v>1238</v>
      </c>
      <c r="D541" s="1">
        <f>IFERROR(DATEVALUE(Table1[[#This Row],[order_date]]),"")</f>
        <v>45437</v>
      </c>
      <c r="E541" t="s">
        <v>1239</v>
      </c>
      <c r="F541" t="str">
        <f>IF(ISBLANK(Table1[[#This Row],[customer_name]]),"Unknown Customer",PROPER(SUBSTITUTE(Table1[[#This Row],[customer_name]],"Cust.","Customer")))</f>
        <v>Customer 539</v>
      </c>
      <c r="H541" t="str">
        <f>IFERROR(_xlfn.XLOOKUP(Table1[[#This Row],[region]],Mappings!$C$3:$C$8,Mappings!$D$3:$D$8,,0,1),"Unknown")</f>
        <v>Unknown</v>
      </c>
      <c r="I541" t="s">
        <v>78</v>
      </c>
      <c r="J541" t="str">
        <f>IFERROR(_xlfn.XLOOKUP(Table1[[#This Row],[sales_channel]],Table4[Original],Table4[Clean],,0,1),"Unknown")</f>
        <v>Mobile</v>
      </c>
      <c r="K541" t="s">
        <v>15</v>
      </c>
      <c r="L541" t="str">
        <f>IFERROR(_xlfn.XLOOKUP(Table1[[#This Row],[product]],Table3[Original],Table3[Product_clean],,0,1),"Unknown")</f>
        <v>Tablet</v>
      </c>
      <c r="M541" s="6" t="s">
        <v>83</v>
      </c>
      <c r="N541">
        <f>IF(ISNUMBER(Table1[[#This Row],[quantity]]),Table1[[#This Row],[quantity]],IFERROR(VLOOKUP(Table1[[#This Row],[quantity]],Table5[#All],2,FALSE),"Unknown"))</f>
        <v>2</v>
      </c>
      <c r="O541" t="s">
        <v>1240</v>
      </c>
      <c r="P541">
        <f>IFERROR(VALUE(SUBSTITUTE(SUBSTITUTE(SUBSTITUTE(Table1[[#This Row],[revenue]],"EUR",""),"$",""),".",",")),"")</f>
        <v>1067.51</v>
      </c>
      <c r="Q541" t="s">
        <v>22</v>
      </c>
      <c r="R541" t="str">
        <f>IF(OR(Table1[[#This Row],[currency]]="EUR",Table1[[#This Row],[currency]]="€"),"EUR",IF(OR(Table1[[#This Row],[currency]]="USD",Table1[[#This Row],[currency]]="$"),"USD","Unknown"))</f>
        <v>USD</v>
      </c>
      <c r="S541" t="s">
        <v>35</v>
      </c>
      <c r="T541" t="str">
        <f>IFERROR(_xlfn.XLOOKUP(Table1[[#This Row],[order_status]],Table8[Original],Table8[Clean],,0,1),"Unknown")</f>
        <v>Returned</v>
      </c>
      <c r="U541">
        <v>2</v>
      </c>
      <c r="V541">
        <f>IF(ISNUMBER(Table1[[#This Row],[delivery_days]]),Table1[[#This Row],[delivery_days]],IFERROR(_xlfn.XLOOKUP(Table1[[#This Row],[delivery_days]],Table57[Original],Table57[Clean],,0,1),"Unknown"))</f>
        <v>2</v>
      </c>
    </row>
    <row r="542" spans="1:23" x14ac:dyDescent="0.3">
      <c r="B542" t="str">
        <f>IF(ISBLANK(Table1[[#This Row],[order_id]]),"",IF(LEFT(Table1[[#This Row],[order_id]],3)="ORD",Table1[[#This Row],[order_id]],"ORD-" &amp; Table1[[#This Row],[order_id]]))</f>
        <v/>
      </c>
      <c r="C542" t="s">
        <v>115</v>
      </c>
      <c r="D542" s="1">
        <f>IFERROR(DATEVALUE(Table1[[#This Row],[order_date]]),"")</f>
        <v>45665</v>
      </c>
      <c r="E542" t="s">
        <v>1241</v>
      </c>
      <c r="F542" t="str">
        <f>IF(ISBLANK(Table1[[#This Row],[customer_name]]),"Unknown Customer",PROPER(SUBSTITUTE(Table1[[#This Row],[customer_name]],"Cust.","Customer")))</f>
        <v>Customer 540</v>
      </c>
      <c r="G542" t="s">
        <v>54</v>
      </c>
      <c r="H542" t="str">
        <f>IFERROR(_xlfn.XLOOKUP(Table1[[#This Row],[region]],Mappings!$C$3:$C$8,Mappings!$D$3:$D$8,,0,1),"Unknown")</f>
        <v>USA</v>
      </c>
      <c r="I542" t="s">
        <v>50</v>
      </c>
      <c r="J542" t="str">
        <f>IFERROR(_xlfn.XLOOKUP(Table1[[#This Row],[sales_channel]],Table4[Original],Table4[Clean],,0,1),"Unknown")</f>
        <v>Mobile</v>
      </c>
      <c r="K542" t="s">
        <v>41</v>
      </c>
      <c r="L542" t="str">
        <f>IFERROR(_xlfn.XLOOKUP(Table1[[#This Row],[product]],Table3[Original],Table3[Product_clean],,0,1),"Unknown")</f>
        <v>Phone</v>
      </c>
      <c r="M542" s="6"/>
      <c r="N542" t="str">
        <f>IF(ISNUMBER(Table1[[#This Row],[quantity]]),Table1[[#This Row],[quantity]],IFERROR(VLOOKUP(Table1[[#This Row],[quantity]],Table5[#All],2,FALSE),"Unknown"))</f>
        <v>Unknown</v>
      </c>
      <c r="O542" t="s">
        <v>1242</v>
      </c>
      <c r="P542">
        <f>IFERROR(VALUE(SUBSTITUTE(SUBSTITUTE(SUBSTITUTE(Table1[[#This Row],[revenue]],"EUR",""),"$",""),".",",")),"")</f>
        <v>2694.47</v>
      </c>
      <c r="Q542" t="s">
        <v>55</v>
      </c>
      <c r="R542" t="str">
        <f>IF(OR(Table1[[#This Row],[currency]]="EUR",Table1[[#This Row],[currency]]="€"),"EUR",IF(OR(Table1[[#This Row],[currency]]="USD",Table1[[#This Row],[currency]]="$"),"USD","Unknown"))</f>
        <v>EUR</v>
      </c>
      <c r="S542" t="s">
        <v>30</v>
      </c>
      <c r="T542" t="str">
        <f>IFERROR(_xlfn.XLOOKUP(Table1[[#This Row],[order_status]],Table8[Original],Table8[Clean],,0,1),"Unknown")</f>
        <v>Delivered</v>
      </c>
      <c r="U542" t="s">
        <v>36</v>
      </c>
      <c r="V542">
        <f>IF(ISNUMBER(Table1[[#This Row],[delivery_days]]),Table1[[#This Row],[delivery_days]],IFERROR(_xlfn.XLOOKUP(Table1[[#This Row],[delivery_days]],Table57[Original],Table57[Clean],,0,1),"Unknown"))</f>
        <v>5</v>
      </c>
    </row>
    <row r="543" spans="1:23" x14ac:dyDescent="0.3">
      <c r="A543" t="s">
        <v>1243</v>
      </c>
      <c r="B543" t="str">
        <f>IF(ISBLANK(Table1[[#This Row],[order_id]]),"",IF(LEFT(Table1[[#This Row],[order_id]],3)="ORD",Table1[[#This Row],[order_id]],"ORD-" &amp; Table1[[#This Row],[order_id]]))</f>
        <v>ORD-1541</v>
      </c>
      <c r="C543" t="s">
        <v>1244</v>
      </c>
      <c r="D543" s="1">
        <f>IFERROR(DATEVALUE(Table1[[#This Row],[order_date]]),"")</f>
        <v>45337</v>
      </c>
      <c r="F543" t="str">
        <f>IF(ISBLANK(Table1[[#This Row],[customer_name]]),"Unknown Customer",PROPER(SUBSTITUTE(Table1[[#This Row],[customer_name]],"Cust.","Customer")))</f>
        <v>Unknown Customer</v>
      </c>
      <c r="H543" t="str">
        <f>IFERROR(_xlfn.XLOOKUP(Table1[[#This Row],[region]],Mappings!$C$3:$C$8,Mappings!$D$3:$D$8,,0,1),"Unknown")</f>
        <v>Unknown</v>
      </c>
      <c r="I543" t="s">
        <v>68</v>
      </c>
      <c r="J543" t="str">
        <f>IFERROR(_xlfn.XLOOKUP(Table1[[#This Row],[sales_channel]],Table4[Original],Table4[Clean],,0,1),"Unknown")</f>
        <v>Online</v>
      </c>
      <c r="L543" t="str">
        <f>IFERROR(_xlfn.XLOOKUP(Table1[[#This Row],[product]],Table3[Original],Table3[Product_clean],,0,1),"Unknown")</f>
        <v>Unknown</v>
      </c>
      <c r="M543" s="6">
        <v>2</v>
      </c>
      <c r="N543">
        <f>IF(ISNUMBER(Table1[[#This Row],[quantity]]),Table1[[#This Row],[quantity]],IFERROR(VLOOKUP(Table1[[#This Row],[quantity]],Table5[#All],2,FALSE),"Unknown"))</f>
        <v>2</v>
      </c>
      <c r="O543" t="s">
        <v>1245</v>
      </c>
      <c r="P543">
        <f>IFERROR(VALUE(SUBSTITUTE(SUBSTITUTE(SUBSTITUTE(Table1[[#This Row],[revenue]],"EUR",""),"$",""),".",",")),"")</f>
        <v>69.53</v>
      </c>
      <c r="Q543" t="s">
        <v>58</v>
      </c>
      <c r="R543" t="str">
        <f>IF(OR(Table1[[#This Row],[currency]]="EUR",Table1[[#This Row],[currency]]="€"),"EUR",IF(OR(Table1[[#This Row],[currency]]="USD",Table1[[#This Row],[currency]]="$"),"USD","Unknown"))</f>
        <v>USD</v>
      </c>
      <c r="S543" t="s">
        <v>23</v>
      </c>
      <c r="T543" t="str">
        <f>IFERROR(_xlfn.XLOOKUP(Table1[[#This Row],[order_status]],Table8[Original],Table8[Clean],,0,1),"Unknown")</f>
        <v>Delivered</v>
      </c>
      <c r="U543">
        <v>5</v>
      </c>
      <c r="V543">
        <f>IF(ISNUMBER(Table1[[#This Row],[delivery_days]]),Table1[[#This Row],[delivery_days]],IFERROR(_xlfn.XLOOKUP(Table1[[#This Row],[delivery_days]],Table57[Original],Table57[Clean],,0,1),"Unknown"))</f>
        <v>5</v>
      </c>
      <c r="W543" t="s">
        <v>24</v>
      </c>
    </row>
    <row r="544" spans="1:23" x14ac:dyDescent="0.3">
      <c r="B544" t="str">
        <f>IF(ISBLANK(Table1[[#This Row],[order_id]]),"",IF(LEFT(Table1[[#This Row],[order_id]],3)="ORD",Table1[[#This Row],[order_id]],"ORD-" &amp; Table1[[#This Row],[order_id]]))</f>
        <v/>
      </c>
      <c r="C544" t="s">
        <v>1246</v>
      </c>
      <c r="D544" s="1">
        <f>IFERROR(DATEVALUE(Table1[[#This Row],[order_date]]),"")</f>
        <v>45575</v>
      </c>
      <c r="F544" t="str">
        <f>IF(ISBLANK(Table1[[#This Row],[customer_name]]),"Unknown Customer",PROPER(SUBSTITUTE(Table1[[#This Row],[customer_name]],"Cust.","Customer")))</f>
        <v>Unknown Customer</v>
      </c>
      <c r="G544" t="s">
        <v>45</v>
      </c>
      <c r="H544" t="str">
        <f>IFERROR(_xlfn.XLOOKUP(Table1[[#This Row],[region]],Mappings!$C$3:$C$8,Mappings!$D$3:$D$8,,0,1),"Unknown")</f>
        <v>USA</v>
      </c>
      <c r="J544" t="str">
        <f>IFERROR(_xlfn.XLOOKUP(Table1[[#This Row],[sales_channel]],Table4[Original],Table4[Clean],,0,1),"Unknown")</f>
        <v>Unknown</v>
      </c>
      <c r="K544" t="s">
        <v>41</v>
      </c>
      <c r="L544" t="str">
        <f>IFERROR(_xlfn.XLOOKUP(Table1[[#This Row],[product]],Table3[Original],Table3[Product_clean],,0,1),"Unknown")</f>
        <v>Phone</v>
      </c>
      <c r="M544" s="6">
        <v>2</v>
      </c>
      <c r="N544">
        <f>IF(ISNUMBER(Table1[[#This Row],[quantity]]),Table1[[#This Row],[quantity]],IFERROR(VLOOKUP(Table1[[#This Row],[quantity]],Table5[#All],2,FALSE),"Unknown"))</f>
        <v>2</v>
      </c>
      <c r="O544" t="s">
        <v>1247</v>
      </c>
      <c r="P544">
        <f>IFERROR(VALUE(SUBSTITUTE(SUBSTITUTE(SUBSTITUTE(Table1[[#This Row],[revenue]],"EUR",""),"$",""),".",",")),"")</f>
        <v>1497.23</v>
      </c>
      <c r="Q544" t="s">
        <v>17</v>
      </c>
      <c r="R544" t="str">
        <f>IF(OR(Table1[[#This Row],[currency]]="EUR",Table1[[#This Row],[currency]]="€"),"EUR",IF(OR(Table1[[#This Row],[currency]]="USD",Table1[[#This Row],[currency]]="$"),"USD","Unknown"))</f>
        <v>EUR</v>
      </c>
      <c r="S544" t="s">
        <v>30</v>
      </c>
      <c r="T544" t="str">
        <f>IFERROR(_xlfn.XLOOKUP(Table1[[#This Row],[order_status]],Table8[Original],Table8[Clean],,0,1),"Unknown")</f>
        <v>Delivered</v>
      </c>
      <c r="U544">
        <v>2</v>
      </c>
      <c r="V544">
        <f>IF(ISNUMBER(Table1[[#This Row],[delivery_days]]),Table1[[#This Row],[delivery_days]],IFERROR(_xlfn.XLOOKUP(Table1[[#This Row],[delivery_days]],Table57[Original],Table57[Clean],,0,1),"Unknown"))</f>
        <v>2</v>
      </c>
      <c r="W544" t="s">
        <v>24</v>
      </c>
    </row>
    <row r="545" spans="1:23" x14ac:dyDescent="0.3">
      <c r="A545">
        <v>1543</v>
      </c>
      <c r="B545" t="str">
        <f>IF(ISBLANK(Table1[[#This Row],[order_id]]),"",IF(LEFT(Table1[[#This Row],[order_id]],3)="ORD",Table1[[#This Row],[order_id]],"ORD-" &amp; Table1[[#This Row],[order_id]]))</f>
        <v>ORD-1543</v>
      </c>
      <c r="C545" t="s">
        <v>1248</v>
      </c>
      <c r="D545" s="1">
        <f>IFERROR(DATEVALUE(Table1[[#This Row],[order_date]]),"")</f>
        <v>45328</v>
      </c>
      <c r="F545" t="str">
        <f>IF(ISBLANK(Table1[[#This Row],[customer_name]]),"Unknown Customer",PROPER(SUBSTITUTE(Table1[[#This Row],[customer_name]],"Cust.","Customer")))</f>
        <v>Unknown Customer</v>
      </c>
      <c r="G545" t="s">
        <v>54</v>
      </c>
      <c r="H545" t="str">
        <f>IFERROR(_xlfn.XLOOKUP(Table1[[#This Row],[region]],Mappings!$C$3:$C$8,Mappings!$D$3:$D$8,,0,1),"Unknown")</f>
        <v>USA</v>
      </c>
      <c r="I545" t="s">
        <v>78</v>
      </c>
      <c r="J545" t="str">
        <f>IFERROR(_xlfn.XLOOKUP(Table1[[#This Row],[sales_channel]],Table4[Original],Table4[Clean],,0,1),"Unknown")</f>
        <v>Mobile</v>
      </c>
      <c r="K545" t="s">
        <v>15</v>
      </c>
      <c r="L545" t="str">
        <f>IFERROR(_xlfn.XLOOKUP(Table1[[#This Row],[product]],Table3[Original],Table3[Product_clean],,0,1),"Unknown")</f>
        <v>Tablet</v>
      </c>
      <c r="M545" s="6">
        <v>2</v>
      </c>
      <c r="N545">
        <f>IF(ISNUMBER(Table1[[#This Row],[quantity]]),Table1[[#This Row],[quantity]],IFERROR(VLOOKUP(Table1[[#This Row],[quantity]],Table5[#All],2,FALSE),"Unknown"))</f>
        <v>2</v>
      </c>
      <c r="P545" t="str">
        <f>IFERROR(VALUE(SUBSTITUTE(SUBSTITUTE(SUBSTITUTE(Table1[[#This Row],[revenue]],"EUR",""),"$",""),".",",")),"")</f>
        <v/>
      </c>
      <c r="Q545" t="s">
        <v>17</v>
      </c>
      <c r="R545" t="str">
        <f>IF(OR(Table1[[#This Row],[currency]]="EUR",Table1[[#This Row],[currency]]="€"),"EUR",IF(OR(Table1[[#This Row],[currency]]="USD",Table1[[#This Row],[currency]]="$"),"USD","Unknown"))</f>
        <v>EUR</v>
      </c>
      <c r="S545" t="s">
        <v>30</v>
      </c>
      <c r="T545" t="str">
        <f>IFERROR(_xlfn.XLOOKUP(Table1[[#This Row],[order_status]],Table8[Original],Table8[Clean],,0,1),"Unknown")</f>
        <v>Delivered</v>
      </c>
      <c r="U545">
        <v>3</v>
      </c>
      <c r="V545">
        <f>IF(ISNUMBER(Table1[[#This Row],[delivery_days]]),Table1[[#This Row],[delivery_days]],IFERROR(_xlfn.XLOOKUP(Table1[[#This Row],[delivery_days]],Table57[Original],Table57[Clean],,0,1),"Unknown"))</f>
        <v>3</v>
      </c>
    </row>
    <row r="546" spans="1:23" x14ac:dyDescent="0.3">
      <c r="B546" t="str">
        <f>IF(ISBLANK(Table1[[#This Row],[order_id]]),"",IF(LEFT(Table1[[#This Row],[order_id]],3)="ORD",Table1[[#This Row],[order_id]],"ORD-" &amp; Table1[[#This Row],[order_id]]))</f>
        <v/>
      </c>
      <c r="D546" s="1" t="str">
        <f>IFERROR(DATEVALUE(Table1[[#This Row],[order_date]]),"")</f>
        <v/>
      </c>
      <c r="F546" t="str">
        <f>IF(ISBLANK(Table1[[#This Row],[customer_name]]),"Unknown Customer",PROPER(SUBSTITUTE(Table1[[#This Row],[customer_name]],"Cust.","Customer")))</f>
        <v>Unknown Customer</v>
      </c>
      <c r="H546" t="str">
        <f>IFERROR(_xlfn.XLOOKUP(Table1[[#This Row],[region]],Mappings!$C$3:$C$8,Mappings!$D$3:$D$8,,0,1),"Unknown")</f>
        <v>Unknown</v>
      </c>
      <c r="I546" t="s">
        <v>50</v>
      </c>
      <c r="J546" t="str">
        <f>IFERROR(_xlfn.XLOOKUP(Table1[[#This Row],[sales_channel]],Table4[Original],Table4[Clean],,0,1),"Unknown")</f>
        <v>Mobile</v>
      </c>
      <c r="K546" t="s">
        <v>15</v>
      </c>
      <c r="L546" t="str">
        <f>IFERROR(_xlfn.XLOOKUP(Table1[[#This Row],[product]],Table3[Original],Table3[Product_clean],,0,1),"Unknown")</f>
        <v>Tablet</v>
      </c>
      <c r="M546" s="6" t="s">
        <v>83</v>
      </c>
      <c r="N546">
        <f>IF(ISNUMBER(Table1[[#This Row],[quantity]]),Table1[[#This Row],[quantity]],IFERROR(VLOOKUP(Table1[[#This Row],[quantity]],Table5[#All],2,FALSE),"Unknown"))</f>
        <v>2</v>
      </c>
      <c r="O546" t="s">
        <v>1249</v>
      </c>
      <c r="P546">
        <f>IFERROR(VALUE(SUBSTITUTE(SUBSTITUTE(SUBSTITUTE(Table1[[#This Row],[revenue]],"EUR",""),"$",""),".",",")),"")</f>
        <v>1816.73</v>
      </c>
      <c r="Q546" t="s">
        <v>17</v>
      </c>
      <c r="R546" t="str">
        <f>IF(OR(Table1[[#This Row],[currency]]="EUR",Table1[[#This Row],[currency]]="€"),"EUR",IF(OR(Table1[[#This Row],[currency]]="USD",Table1[[#This Row],[currency]]="$"),"USD","Unknown"))</f>
        <v>EUR</v>
      </c>
      <c r="S546" t="s">
        <v>35</v>
      </c>
      <c r="T546" t="str">
        <f>IFERROR(_xlfn.XLOOKUP(Table1[[#This Row],[order_status]],Table8[Original],Table8[Clean],,0,1),"Unknown")</f>
        <v>Returned</v>
      </c>
      <c r="U546" t="s">
        <v>36</v>
      </c>
      <c r="V546">
        <f>IF(ISNUMBER(Table1[[#This Row],[delivery_days]]),Table1[[#This Row],[delivery_days]],IFERROR(_xlfn.XLOOKUP(Table1[[#This Row],[delivery_days]],Table57[Original],Table57[Clean],,0,1),"Unknown"))</f>
        <v>5</v>
      </c>
    </row>
    <row r="547" spans="1:23" x14ac:dyDescent="0.3">
      <c r="A547">
        <v>1545</v>
      </c>
      <c r="B547" t="str">
        <f>IF(ISBLANK(Table1[[#This Row],[order_id]]),"",IF(LEFT(Table1[[#This Row],[order_id]],3)="ORD",Table1[[#This Row],[order_id]],"ORD-" &amp; Table1[[#This Row],[order_id]]))</f>
        <v>ORD-1545</v>
      </c>
      <c r="C547" t="s">
        <v>1250</v>
      </c>
      <c r="D547" s="1">
        <f>IFERROR(DATEVALUE(Table1[[#This Row],[order_date]]),"")</f>
        <v>45631</v>
      </c>
      <c r="F547" t="str">
        <f>IF(ISBLANK(Table1[[#This Row],[customer_name]]),"Unknown Customer",PROPER(SUBSTITUTE(Table1[[#This Row],[customer_name]],"Cust.","Customer")))</f>
        <v>Unknown Customer</v>
      </c>
      <c r="H547" t="str">
        <f>IFERROR(_xlfn.XLOOKUP(Table1[[#This Row],[region]],Mappings!$C$3:$C$8,Mappings!$D$3:$D$8,,0,1),"Unknown")</f>
        <v>Unknown</v>
      </c>
      <c r="I547" t="s">
        <v>27</v>
      </c>
      <c r="J547" t="str">
        <f>IFERROR(_xlfn.XLOOKUP(Table1[[#This Row],[sales_channel]],Table4[Original],Table4[Clean],,0,1),"Unknown")</f>
        <v>Online</v>
      </c>
      <c r="K547" t="s">
        <v>102</v>
      </c>
      <c r="L547" t="str">
        <f>IFERROR(_xlfn.XLOOKUP(Table1[[#This Row],[product]],Table3[Original],Table3[Product_clean],,0,1),"Unknown")</f>
        <v>Phone</v>
      </c>
      <c r="M547" s="6">
        <v>2</v>
      </c>
      <c r="N547">
        <f>IF(ISNUMBER(Table1[[#This Row],[quantity]]),Table1[[#This Row],[quantity]],IFERROR(VLOOKUP(Table1[[#This Row],[quantity]],Table5[#All],2,FALSE),"Unknown"))</f>
        <v>2</v>
      </c>
      <c r="O547">
        <v>530.4</v>
      </c>
      <c r="P547">
        <f>IFERROR(VALUE(SUBSTITUTE(SUBSTITUTE(SUBSTITUTE(Table1[[#This Row],[revenue]],"EUR",""),"$",""),".",",")),"")</f>
        <v>530.4</v>
      </c>
      <c r="Q547" t="s">
        <v>17</v>
      </c>
      <c r="R547" t="str">
        <f>IF(OR(Table1[[#This Row],[currency]]="EUR",Table1[[#This Row],[currency]]="€"),"EUR",IF(OR(Table1[[#This Row],[currency]]="USD",Table1[[#This Row],[currency]]="$"),"USD","Unknown"))</f>
        <v>EUR</v>
      </c>
      <c r="S547" t="s">
        <v>35</v>
      </c>
      <c r="T547" t="str">
        <f>IFERROR(_xlfn.XLOOKUP(Table1[[#This Row],[order_status]],Table8[Original],Table8[Clean],,0,1),"Unknown")</f>
        <v>Returned</v>
      </c>
      <c r="U547">
        <v>3</v>
      </c>
      <c r="V547">
        <f>IF(ISNUMBER(Table1[[#This Row],[delivery_days]]),Table1[[#This Row],[delivery_days]],IFERROR(_xlfn.XLOOKUP(Table1[[#This Row],[delivery_days]],Table57[Original],Table57[Clean],,0,1),"Unknown"))</f>
        <v>3</v>
      </c>
    </row>
    <row r="548" spans="1:23" x14ac:dyDescent="0.3">
      <c r="A548">
        <v>1546</v>
      </c>
      <c r="B548" t="str">
        <f>IF(ISBLANK(Table1[[#This Row],[order_id]]),"",IF(LEFT(Table1[[#This Row],[order_id]],3)="ORD",Table1[[#This Row],[order_id]],"ORD-" &amp; Table1[[#This Row],[order_id]]))</f>
        <v>ORD-1546</v>
      </c>
      <c r="C548" t="s">
        <v>182</v>
      </c>
      <c r="D548" s="1" t="str">
        <f>IFERROR(DATEVALUE(Table1[[#This Row],[order_date]]),"")</f>
        <v/>
      </c>
      <c r="E548" t="s">
        <v>1251</v>
      </c>
      <c r="F548" t="str">
        <f>IF(ISBLANK(Table1[[#This Row],[customer_name]]),"Unknown Customer",PROPER(SUBSTITUTE(Table1[[#This Row],[customer_name]],"Cust.","Customer")))</f>
        <v>Customer 546</v>
      </c>
      <c r="G548" t="s">
        <v>45</v>
      </c>
      <c r="H548" t="str">
        <f>IFERROR(_xlfn.XLOOKUP(Table1[[#This Row],[region]],Mappings!$C$3:$C$8,Mappings!$D$3:$D$8,,0,1),"Unknown")</f>
        <v>USA</v>
      </c>
      <c r="J548" t="str">
        <f>IFERROR(_xlfn.XLOOKUP(Table1[[#This Row],[sales_channel]],Table4[Original],Table4[Clean],,0,1),"Unknown")</f>
        <v>Unknown</v>
      </c>
      <c r="K548" t="s">
        <v>51</v>
      </c>
      <c r="L548" t="str">
        <f>IFERROR(_xlfn.XLOOKUP(Table1[[#This Row],[product]],Table3[Original],Table3[Product_clean],,0,1),"Unknown")</f>
        <v>Laptop</v>
      </c>
      <c r="M548" s="6"/>
      <c r="N548" t="str">
        <f>IF(ISNUMBER(Table1[[#This Row],[quantity]]),Table1[[#This Row],[quantity]],IFERROR(VLOOKUP(Table1[[#This Row],[quantity]],Table5[#All],2,FALSE),"Unknown"))</f>
        <v>Unknown</v>
      </c>
      <c r="O548" t="s">
        <v>1252</v>
      </c>
      <c r="P548">
        <f>IFERROR(VALUE(SUBSTITUTE(SUBSTITUTE(SUBSTITUTE(Table1[[#This Row],[revenue]],"EUR",""),"$",""),".",",")),"")</f>
        <v>2740.71</v>
      </c>
      <c r="Q548" t="s">
        <v>58</v>
      </c>
      <c r="R548" t="str">
        <f>IF(OR(Table1[[#This Row],[currency]]="EUR",Table1[[#This Row],[currency]]="€"),"EUR",IF(OR(Table1[[#This Row],[currency]]="USD",Table1[[#This Row],[currency]]="$"),"USD","Unknown"))</f>
        <v>USD</v>
      </c>
      <c r="T548" t="str">
        <f>IFERROR(_xlfn.XLOOKUP(Table1[[#This Row],[order_status]],Table8[Original],Table8[Clean],,0,1),"Unknown")</f>
        <v>Unknown</v>
      </c>
      <c r="U548">
        <v>2</v>
      </c>
      <c r="V548">
        <f>IF(ISNUMBER(Table1[[#This Row],[delivery_days]]),Table1[[#This Row],[delivery_days]],IFERROR(_xlfn.XLOOKUP(Table1[[#This Row],[delivery_days]],Table57[Original],Table57[Clean],,0,1),"Unknown"))</f>
        <v>2</v>
      </c>
    </row>
    <row r="549" spans="1:23" x14ac:dyDescent="0.3">
      <c r="A549" t="s">
        <v>1253</v>
      </c>
      <c r="B549" t="str">
        <f>IF(ISBLANK(Table1[[#This Row],[order_id]]),"",IF(LEFT(Table1[[#This Row],[order_id]],3)="ORD",Table1[[#This Row],[order_id]],"ORD-" &amp; Table1[[#This Row],[order_id]]))</f>
        <v>ORD-1547</v>
      </c>
      <c r="C549" t="s">
        <v>1254</v>
      </c>
      <c r="D549" s="1">
        <f>IFERROR(DATEVALUE(Table1[[#This Row],[order_date]]),"")</f>
        <v>45333</v>
      </c>
      <c r="E549" t="s">
        <v>1255</v>
      </c>
      <c r="F549" t="str">
        <f>IF(ISBLANK(Table1[[#This Row],[customer_name]]),"Unknown Customer",PROPER(SUBSTITUTE(Table1[[#This Row],[customer_name]],"Cust.","Customer")))</f>
        <v>Customer 547</v>
      </c>
      <c r="H549" t="str">
        <f>IFERROR(_xlfn.XLOOKUP(Table1[[#This Row],[region]],Mappings!$C$3:$C$8,Mappings!$D$3:$D$8,,0,1),"Unknown")</f>
        <v>Unknown</v>
      </c>
      <c r="J549" t="str">
        <f>IFERROR(_xlfn.XLOOKUP(Table1[[#This Row],[sales_channel]],Table4[Original],Table4[Clean],,0,1),"Unknown")</f>
        <v>Unknown</v>
      </c>
      <c r="K549" t="s">
        <v>15</v>
      </c>
      <c r="L549" t="str">
        <f>IFERROR(_xlfn.XLOOKUP(Table1[[#This Row],[product]],Table3[Original],Table3[Product_clean],,0,1),"Unknown")</f>
        <v>Tablet</v>
      </c>
      <c r="M549" s="6">
        <v>3</v>
      </c>
      <c r="N549">
        <f>IF(ISNUMBER(Table1[[#This Row],[quantity]]),Table1[[#This Row],[quantity]],IFERROR(VLOOKUP(Table1[[#This Row],[quantity]],Table5[#All],2,FALSE),"Unknown"))</f>
        <v>3</v>
      </c>
      <c r="O549" t="s">
        <v>1256</v>
      </c>
      <c r="P549">
        <f>IFERROR(VALUE(SUBSTITUTE(SUBSTITUTE(SUBSTITUTE(Table1[[#This Row],[revenue]],"EUR",""),"$",""),".",",")),"")</f>
        <v>2270.25</v>
      </c>
      <c r="Q549" t="s">
        <v>17</v>
      </c>
      <c r="R549" t="str">
        <f>IF(OR(Table1[[#This Row],[currency]]="EUR",Table1[[#This Row],[currency]]="€"),"EUR",IF(OR(Table1[[#This Row],[currency]]="USD",Table1[[#This Row],[currency]]="$"),"USD","Unknown"))</f>
        <v>EUR</v>
      </c>
      <c r="S549" t="s">
        <v>18</v>
      </c>
      <c r="T549" t="str">
        <f>IFERROR(_xlfn.XLOOKUP(Table1[[#This Row],[order_status]],Table8[Original],Table8[Clean],,0,1),"Unknown")</f>
        <v>Pending</v>
      </c>
      <c r="U549" t="s">
        <v>36</v>
      </c>
      <c r="V549">
        <f>IF(ISNUMBER(Table1[[#This Row],[delivery_days]]),Table1[[#This Row],[delivery_days]],IFERROR(_xlfn.XLOOKUP(Table1[[#This Row],[delivery_days]],Table57[Original],Table57[Clean],,0,1),"Unknown"))</f>
        <v>5</v>
      </c>
      <c r="W549" t="s">
        <v>24</v>
      </c>
    </row>
    <row r="550" spans="1:23" x14ac:dyDescent="0.3">
      <c r="A550" t="s">
        <v>1257</v>
      </c>
      <c r="B550" t="str">
        <f>IF(ISBLANK(Table1[[#This Row],[order_id]]),"",IF(LEFT(Table1[[#This Row],[order_id]],3)="ORD",Table1[[#This Row],[order_id]],"ORD-" &amp; Table1[[#This Row],[order_id]]))</f>
        <v>ORD-1548</v>
      </c>
      <c r="D550" s="1" t="str">
        <f>IFERROR(DATEVALUE(Table1[[#This Row],[order_date]]),"")</f>
        <v/>
      </c>
      <c r="F550" t="str">
        <f>IF(ISBLANK(Table1[[#This Row],[customer_name]]),"Unknown Customer",PROPER(SUBSTITUTE(Table1[[#This Row],[customer_name]],"Cust.","Customer")))</f>
        <v>Unknown Customer</v>
      </c>
      <c r="G550" t="s">
        <v>26</v>
      </c>
      <c r="H550" t="str">
        <f>IFERROR(_xlfn.XLOOKUP(Table1[[#This Row],[region]],Mappings!$C$3:$C$8,Mappings!$D$3:$D$8,,0,1),"Unknown")</f>
        <v>Asia</v>
      </c>
      <c r="I550" t="s">
        <v>27</v>
      </c>
      <c r="J550" t="str">
        <f>IFERROR(_xlfn.XLOOKUP(Table1[[#This Row],[sales_channel]],Table4[Original],Table4[Clean],,0,1),"Unknown")</f>
        <v>Online</v>
      </c>
      <c r="K550" t="s">
        <v>51</v>
      </c>
      <c r="L550" t="str">
        <f>IFERROR(_xlfn.XLOOKUP(Table1[[#This Row],[product]],Table3[Original],Table3[Product_clean],,0,1),"Unknown")</f>
        <v>Laptop</v>
      </c>
      <c r="M550" s="6">
        <v>2</v>
      </c>
      <c r="N550">
        <f>IF(ISNUMBER(Table1[[#This Row],[quantity]]),Table1[[#This Row],[quantity]],IFERROR(VLOOKUP(Table1[[#This Row],[quantity]],Table5[#All],2,FALSE),"Unknown"))</f>
        <v>2</v>
      </c>
      <c r="O550" t="s">
        <v>1258</v>
      </c>
      <c r="P550">
        <f>IFERROR(VALUE(SUBSTITUTE(SUBSTITUTE(SUBSTITUTE(Table1[[#This Row],[revenue]],"EUR",""),"$",""),".",",")),"")</f>
        <v>88.05</v>
      </c>
      <c r="Q550" t="s">
        <v>58</v>
      </c>
      <c r="R550" t="str">
        <f>IF(OR(Table1[[#This Row],[currency]]="EUR",Table1[[#This Row],[currency]]="€"),"EUR",IF(OR(Table1[[#This Row],[currency]]="USD",Table1[[#This Row],[currency]]="$"),"USD","Unknown"))</f>
        <v>USD</v>
      </c>
      <c r="S550" t="s">
        <v>18</v>
      </c>
      <c r="T550" t="str">
        <f>IFERROR(_xlfn.XLOOKUP(Table1[[#This Row],[order_status]],Table8[Original],Table8[Clean],,0,1),"Unknown")</f>
        <v>Pending</v>
      </c>
      <c r="U550">
        <v>2</v>
      </c>
      <c r="V550">
        <f>IF(ISNUMBER(Table1[[#This Row],[delivery_days]]),Table1[[#This Row],[delivery_days]],IFERROR(_xlfn.XLOOKUP(Table1[[#This Row],[delivery_days]],Table57[Original],Table57[Clean],,0,1),"Unknown"))</f>
        <v>2</v>
      </c>
      <c r="W550" t="s">
        <v>37</v>
      </c>
    </row>
    <row r="551" spans="1:23" x14ac:dyDescent="0.3">
      <c r="A551" t="s">
        <v>1259</v>
      </c>
      <c r="B551" t="str">
        <f>IF(ISBLANK(Table1[[#This Row],[order_id]]),"",IF(LEFT(Table1[[#This Row],[order_id]],3)="ORD",Table1[[#This Row],[order_id]],"ORD-" &amp; Table1[[#This Row],[order_id]]))</f>
        <v>ORD-1549</v>
      </c>
      <c r="D551" s="1" t="str">
        <f>IFERROR(DATEVALUE(Table1[[#This Row],[order_date]]),"")</f>
        <v/>
      </c>
      <c r="E551" t="s">
        <v>1260</v>
      </c>
      <c r="F551" t="str">
        <f>IF(ISBLANK(Table1[[#This Row],[customer_name]]),"Unknown Customer",PROPER(SUBSTITUTE(Table1[[#This Row],[customer_name]],"Cust.","Customer")))</f>
        <v>Customer 549</v>
      </c>
      <c r="G551" t="s">
        <v>73</v>
      </c>
      <c r="H551" t="str">
        <f>IFERROR(_xlfn.XLOOKUP(Table1[[#This Row],[region]],Mappings!$C$3:$C$8,Mappings!$D$3:$D$8,,0,1),"Unknown")</f>
        <v>Europe</v>
      </c>
      <c r="I551" t="s">
        <v>27</v>
      </c>
      <c r="J551" t="str">
        <f>IFERROR(_xlfn.XLOOKUP(Table1[[#This Row],[sales_channel]],Table4[Original],Table4[Clean],,0,1),"Unknown")</f>
        <v>Online</v>
      </c>
      <c r="K551" t="s">
        <v>51</v>
      </c>
      <c r="L551" t="str">
        <f>IFERROR(_xlfn.XLOOKUP(Table1[[#This Row],[product]],Table3[Original],Table3[Product_clean],,0,1),"Unknown")</f>
        <v>Laptop</v>
      </c>
      <c r="M551" s="6" t="s">
        <v>83</v>
      </c>
      <c r="N551">
        <f>IF(ISNUMBER(Table1[[#This Row],[quantity]]),Table1[[#This Row],[quantity]],IFERROR(VLOOKUP(Table1[[#This Row],[quantity]],Table5[#All],2,FALSE),"Unknown"))</f>
        <v>2</v>
      </c>
      <c r="O551">
        <v>2696.32</v>
      </c>
      <c r="P551">
        <f>IFERROR(VALUE(SUBSTITUTE(SUBSTITUTE(SUBSTITUTE(Table1[[#This Row],[revenue]],"EUR",""),"$",""),".",",")),"")</f>
        <v>2696.32</v>
      </c>
      <c r="Q551" t="s">
        <v>55</v>
      </c>
      <c r="R551" t="str">
        <f>IF(OR(Table1[[#This Row],[currency]]="EUR",Table1[[#This Row],[currency]]="€"),"EUR",IF(OR(Table1[[#This Row],[currency]]="USD",Table1[[#This Row],[currency]]="$"),"USD","Unknown"))</f>
        <v>EUR</v>
      </c>
      <c r="S551" t="s">
        <v>35</v>
      </c>
      <c r="T551" t="str">
        <f>IFERROR(_xlfn.XLOOKUP(Table1[[#This Row],[order_status]],Table8[Original],Table8[Clean],,0,1),"Unknown")</f>
        <v>Returned</v>
      </c>
      <c r="V551" t="str">
        <f>IF(ISNUMBER(Table1[[#This Row],[delivery_days]]),Table1[[#This Row],[delivery_days]],IFERROR(_xlfn.XLOOKUP(Table1[[#This Row],[delivery_days]],Table57[Original],Table57[Clean],,0,1),"Unknown"))</f>
        <v>Unknown</v>
      </c>
      <c r="W551" t="s">
        <v>24</v>
      </c>
    </row>
    <row r="552" spans="1:23" x14ac:dyDescent="0.3">
      <c r="A552">
        <v>1550</v>
      </c>
      <c r="B552" t="str">
        <f>IF(ISBLANK(Table1[[#This Row],[order_id]]),"",IF(LEFT(Table1[[#This Row],[order_id]],3)="ORD",Table1[[#This Row],[order_id]],"ORD-" &amp; Table1[[#This Row],[order_id]]))</f>
        <v>ORD-1550</v>
      </c>
      <c r="C552" t="s">
        <v>1261</v>
      </c>
      <c r="D552" s="1">
        <f>IFERROR(DATEVALUE(Table1[[#This Row],[order_date]]),"")</f>
        <v>45629</v>
      </c>
      <c r="E552" t="s">
        <v>1262</v>
      </c>
      <c r="F552" t="str">
        <f>IF(ISBLANK(Table1[[#This Row],[customer_name]]),"Unknown Customer",PROPER(SUBSTITUTE(Table1[[#This Row],[customer_name]],"Cust.","Customer")))</f>
        <v>Customer 550</v>
      </c>
      <c r="H552" t="str">
        <f>IFERROR(_xlfn.XLOOKUP(Table1[[#This Row],[region]],Mappings!$C$3:$C$8,Mappings!$D$3:$D$8,,0,1),"Unknown")</f>
        <v>Unknown</v>
      </c>
      <c r="I552" t="s">
        <v>14</v>
      </c>
      <c r="J552" t="str">
        <f>IFERROR(_xlfn.XLOOKUP(Table1[[#This Row],[sales_channel]],Table4[Original],Table4[Clean],,0,1),"Unknown")</f>
        <v>Online</v>
      </c>
      <c r="K552" t="s">
        <v>28</v>
      </c>
      <c r="L552" t="str">
        <f>IFERROR(_xlfn.XLOOKUP(Table1[[#This Row],[product]],Table3[Original],Table3[Product_clean],,0,1),"Unknown")</f>
        <v>Laptop</v>
      </c>
      <c r="M552" s="6">
        <v>2</v>
      </c>
      <c r="N552">
        <f>IF(ISNUMBER(Table1[[#This Row],[quantity]]),Table1[[#This Row],[quantity]],IFERROR(VLOOKUP(Table1[[#This Row],[quantity]],Table5[#All],2,FALSE),"Unknown"))</f>
        <v>2</v>
      </c>
      <c r="O552" t="s">
        <v>1263</v>
      </c>
      <c r="P552">
        <f>IFERROR(VALUE(SUBSTITUTE(SUBSTITUTE(SUBSTITUTE(Table1[[#This Row],[revenue]],"EUR",""),"$",""),".",",")),"")</f>
        <v>2460.2600000000002</v>
      </c>
      <c r="Q552" t="s">
        <v>58</v>
      </c>
      <c r="R552" t="str">
        <f>IF(OR(Table1[[#This Row],[currency]]="EUR",Table1[[#This Row],[currency]]="€"),"EUR",IF(OR(Table1[[#This Row],[currency]]="USD",Table1[[#This Row],[currency]]="$"),"USD","Unknown"))</f>
        <v>USD</v>
      </c>
      <c r="T552" t="str">
        <f>IFERROR(_xlfn.XLOOKUP(Table1[[#This Row],[order_status]],Table8[Original],Table8[Clean],,0,1),"Unknown")</f>
        <v>Unknown</v>
      </c>
      <c r="U552">
        <v>2</v>
      </c>
      <c r="V552">
        <f>IF(ISNUMBER(Table1[[#This Row],[delivery_days]]),Table1[[#This Row],[delivery_days]],IFERROR(_xlfn.XLOOKUP(Table1[[#This Row],[delivery_days]],Table57[Original],Table57[Clean],,0,1),"Unknown"))</f>
        <v>2</v>
      </c>
      <c r="W552" t="s">
        <v>24</v>
      </c>
    </row>
    <row r="553" spans="1:23" x14ac:dyDescent="0.3">
      <c r="A553" t="s">
        <v>1264</v>
      </c>
      <c r="B553" t="str">
        <f>IF(ISBLANK(Table1[[#This Row],[order_id]]),"",IF(LEFT(Table1[[#This Row],[order_id]],3)="ORD",Table1[[#This Row],[order_id]],"ORD-" &amp; Table1[[#This Row],[order_id]]))</f>
        <v>ORD-1551</v>
      </c>
      <c r="C553" t="s">
        <v>904</v>
      </c>
      <c r="D553" s="1">
        <f>IFERROR(DATEVALUE(Table1[[#This Row],[order_date]]),"")</f>
        <v>45356</v>
      </c>
      <c r="E553" t="s">
        <v>1265</v>
      </c>
      <c r="F553" t="str">
        <f>IF(ISBLANK(Table1[[#This Row],[customer_name]]),"Unknown Customer",PROPER(SUBSTITUTE(Table1[[#This Row],[customer_name]],"Cust.","Customer")))</f>
        <v>Customer 551</v>
      </c>
      <c r="G553" t="s">
        <v>73</v>
      </c>
      <c r="H553" t="str">
        <f>IFERROR(_xlfn.XLOOKUP(Table1[[#This Row],[region]],Mappings!$C$3:$C$8,Mappings!$D$3:$D$8,,0,1),"Unknown")</f>
        <v>Europe</v>
      </c>
      <c r="I553" t="s">
        <v>78</v>
      </c>
      <c r="J553" t="str">
        <f>IFERROR(_xlfn.XLOOKUP(Table1[[#This Row],[sales_channel]],Table4[Original],Table4[Clean],,0,1),"Unknown")</f>
        <v>Mobile</v>
      </c>
      <c r="L553" t="str">
        <f>IFERROR(_xlfn.XLOOKUP(Table1[[#This Row],[product]],Table3[Original],Table3[Product_clean],,0,1),"Unknown")</f>
        <v>Unknown</v>
      </c>
      <c r="M553" s="6" t="s">
        <v>83</v>
      </c>
      <c r="N553">
        <f>IF(ISNUMBER(Table1[[#This Row],[quantity]]),Table1[[#This Row],[quantity]],IFERROR(VLOOKUP(Table1[[#This Row],[quantity]],Table5[#All],2,FALSE),"Unknown"))</f>
        <v>2</v>
      </c>
      <c r="O553">
        <v>669.03</v>
      </c>
      <c r="P553">
        <f>IFERROR(VALUE(SUBSTITUTE(SUBSTITUTE(SUBSTITUTE(Table1[[#This Row],[revenue]],"EUR",""),"$",""),".",",")),"")</f>
        <v>669.03</v>
      </c>
      <c r="Q553" t="s">
        <v>17</v>
      </c>
      <c r="R553" t="str">
        <f>IF(OR(Table1[[#This Row],[currency]]="EUR",Table1[[#This Row],[currency]]="€"),"EUR",IF(OR(Table1[[#This Row],[currency]]="USD",Table1[[#This Row],[currency]]="$"),"USD","Unknown"))</f>
        <v>EUR</v>
      </c>
      <c r="S553" t="s">
        <v>23</v>
      </c>
      <c r="T553" t="str">
        <f>IFERROR(_xlfn.XLOOKUP(Table1[[#This Row],[order_status]],Table8[Original],Table8[Clean],,0,1),"Unknown")</f>
        <v>Delivered</v>
      </c>
      <c r="U553">
        <v>1</v>
      </c>
      <c r="V553">
        <f>IF(ISNUMBER(Table1[[#This Row],[delivery_days]]),Table1[[#This Row],[delivery_days]],IFERROR(_xlfn.XLOOKUP(Table1[[#This Row],[delivery_days]],Table57[Original],Table57[Clean],,0,1),"Unknown"))</f>
        <v>1</v>
      </c>
    </row>
    <row r="554" spans="1:23" x14ac:dyDescent="0.3">
      <c r="A554" t="s">
        <v>1266</v>
      </c>
      <c r="B554" t="str">
        <f>IF(ISBLANK(Table1[[#This Row],[order_id]]),"",IF(LEFT(Table1[[#This Row],[order_id]],3)="ORD",Table1[[#This Row],[order_id]],"ORD-" &amp; Table1[[#This Row],[order_id]]))</f>
        <v>ORD-1552</v>
      </c>
      <c r="C554" t="s">
        <v>1267</v>
      </c>
      <c r="D554" s="1">
        <f>IFERROR(DATEVALUE(Table1[[#This Row],[order_date]]),"")</f>
        <v>45698</v>
      </c>
      <c r="E554" t="s">
        <v>1268</v>
      </c>
      <c r="F554" t="str">
        <f>IF(ISBLANK(Table1[[#This Row],[customer_name]]),"Unknown Customer",PROPER(SUBSTITUTE(Table1[[#This Row],[customer_name]],"Cust.","Customer")))</f>
        <v>Customer 552</v>
      </c>
      <c r="G554" t="s">
        <v>73</v>
      </c>
      <c r="H554" t="str">
        <f>IFERROR(_xlfn.XLOOKUP(Table1[[#This Row],[region]],Mappings!$C$3:$C$8,Mappings!$D$3:$D$8,,0,1),"Unknown")</f>
        <v>Europe</v>
      </c>
      <c r="I554" t="s">
        <v>14</v>
      </c>
      <c r="J554" t="str">
        <f>IFERROR(_xlfn.XLOOKUP(Table1[[#This Row],[sales_channel]],Table4[Original],Table4[Clean],,0,1),"Unknown")</f>
        <v>Online</v>
      </c>
      <c r="K554" t="s">
        <v>102</v>
      </c>
      <c r="L554" t="str">
        <f>IFERROR(_xlfn.XLOOKUP(Table1[[#This Row],[product]],Table3[Original],Table3[Product_clean],,0,1),"Unknown")</f>
        <v>Phone</v>
      </c>
      <c r="M554" s="6">
        <v>1</v>
      </c>
      <c r="N554">
        <f>IF(ISNUMBER(Table1[[#This Row],[quantity]]),Table1[[#This Row],[quantity]],IFERROR(VLOOKUP(Table1[[#This Row],[quantity]],Table5[#All],2,FALSE),"Unknown"))</f>
        <v>1</v>
      </c>
      <c r="O554">
        <v>1996.38</v>
      </c>
      <c r="P554">
        <f>IFERROR(VALUE(SUBSTITUTE(SUBSTITUTE(SUBSTITUTE(Table1[[#This Row],[revenue]],"EUR",""),"$",""),".",",")),"")</f>
        <v>1996.38</v>
      </c>
      <c r="Q554" t="s">
        <v>17</v>
      </c>
      <c r="R554" t="str">
        <f>IF(OR(Table1[[#This Row],[currency]]="EUR",Table1[[#This Row],[currency]]="€"),"EUR",IF(OR(Table1[[#This Row],[currency]]="USD",Table1[[#This Row],[currency]]="$"),"USD","Unknown"))</f>
        <v>EUR</v>
      </c>
      <c r="S554" t="s">
        <v>30</v>
      </c>
      <c r="T554" t="str">
        <f>IFERROR(_xlfn.XLOOKUP(Table1[[#This Row],[order_status]],Table8[Original],Table8[Clean],,0,1),"Unknown")</f>
        <v>Delivered</v>
      </c>
      <c r="U554" t="s">
        <v>36</v>
      </c>
      <c r="V554">
        <f>IF(ISNUMBER(Table1[[#This Row],[delivery_days]]),Table1[[#This Row],[delivery_days]],IFERROR(_xlfn.XLOOKUP(Table1[[#This Row],[delivery_days]],Table57[Original],Table57[Clean],,0,1),"Unknown"))</f>
        <v>5</v>
      </c>
      <c r="W554" t="s">
        <v>37</v>
      </c>
    </row>
    <row r="555" spans="1:23" x14ac:dyDescent="0.3">
      <c r="B555" t="str">
        <f>IF(ISBLANK(Table1[[#This Row],[order_id]]),"",IF(LEFT(Table1[[#This Row],[order_id]],3)="ORD",Table1[[#This Row],[order_id]],"ORD-" &amp; Table1[[#This Row],[order_id]]))</f>
        <v/>
      </c>
      <c r="C555" t="s">
        <v>868</v>
      </c>
      <c r="D555" s="1" t="str">
        <f>IFERROR(DATEVALUE(Table1[[#This Row],[order_date]]),"")</f>
        <v/>
      </c>
      <c r="E555" t="s">
        <v>1269</v>
      </c>
      <c r="F555" t="str">
        <f>IF(ISBLANK(Table1[[#This Row],[customer_name]]),"Unknown Customer",PROPER(SUBSTITUTE(Table1[[#This Row],[customer_name]],"Cust.","Customer")))</f>
        <v>Customer 553</v>
      </c>
      <c r="G555" t="s">
        <v>73</v>
      </c>
      <c r="H555" t="str">
        <f>IFERROR(_xlfn.XLOOKUP(Table1[[#This Row],[region]],Mappings!$C$3:$C$8,Mappings!$D$3:$D$8,,0,1),"Unknown")</f>
        <v>Europe</v>
      </c>
      <c r="I555" t="s">
        <v>27</v>
      </c>
      <c r="J555" t="str">
        <f>IFERROR(_xlfn.XLOOKUP(Table1[[#This Row],[sales_channel]],Table4[Original],Table4[Clean],,0,1),"Unknown")</f>
        <v>Online</v>
      </c>
      <c r="L555" t="str">
        <f>IFERROR(_xlfn.XLOOKUP(Table1[[#This Row],[product]],Table3[Original],Table3[Product_clean],,0,1),"Unknown")</f>
        <v>Unknown</v>
      </c>
      <c r="M555" s="6">
        <v>3</v>
      </c>
      <c r="N555">
        <f>IF(ISNUMBER(Table1[[#This Row],[quantity]]),Table1[[#This Row],[quantity]],IFERROR(VLOOKUP(Table1[[#This Row],[quantity]],Table5[#All],2,FALSE),"Unknown"))</f>
        <v>3</v>
      </c>
      <c r="O555" t="s">
        <v>1270</v>
      </c>
      <c r="P555">
        <f>IFERROR(VALUE(SUBSTITUTE(SUBSTITUTE(SUBSTITUTE(Table1[[#This Row],[revenue]],"EUR",""),"$",""),".",",")),"")</f>
        <v>2708.47</v>
      </c>
      <c r="R555" t="str">
        <f>IF(OR(Table1[[#This Row],[currency]]="EUR",Table1[[#This Row],[currency]]="€"),"EUR",IF(OR(Table1[[#This Row],[currency]]="USD",Table1[[#This Row],[currency]]="$"),"USD","Unknown"))</f>
        <v>Unknown</v>
      </c>
      <c r="S555" t="s">
        <v>35</v>
      </c>
      <c r="T555" t="str">
        <f>IFERROR(_xlfn.XLOOKUP(Table1[[#This Row],[order_status]],Table8[Original],Table8[Clean],,0,1),"Unknown")</f>
        <v>Returned</v>
      </c>
      <c r="U555">
        <v>3</v>
      </c>
      <c r="V555">
        <f>IF(ISNUMBER(Table1[[#This Row],[delivery_days]]),Table1[[#This Row],[delivery_days]],IFERROR(_xlfn.XLOOKUP(Table1[[#This Row],[delivery_days]],Table57[Original],Table57[Clean],,0,1),"Unknown"))</f>
        <v>3</v>
      </c>
      <c r="W555" t="s">
        <v>37</v>
      </c>
    </row>
    <row r="556" spans="1:23" x14ac:dyDescent="0.3">
      <c r="B556" t="str">
        <f>IF(ISBLANK(Table1[[#This Row],[order_id]]),"",IF(LEFT(Table1[[#This Row],[order_id]],3)="ORD",Table1[[#This Row],[order_id]],"ORD-" &amp; Table1[[#This Row],[order_id]]))</f>
        <v/>
      </c>
      <c r="C556" t="s">
        <v>1271</v>
      </c>
      <c r="D556" s="1">
        <f>IFERROR(DATEVALUE(Table1[[#This Row],[order_date]]),"")</f>
        <v>45548</v>
      </c>
      <c r="E556" t="s">
        <v>1272</v>
      </c>
      <c r="F556" t="str">
        <f>IF(ISBLANK(Table1[[#This Row],[customer_name]]),"Unknown Customer",PROPER(SUBSTITUTE(Table1[[#This Row],[customer_name]],"Cust.","Customer")))</f>
        <v>Customer 554</v>
      </c>
      <c r="H556" t="str">
        <f>IFERROR(_xlfn.XLOOKUP(Table1[[#This Row],[region]],Mappings!$C$3:$C$8,Mappings!$D$3:$D$8,,0,1),"Unknown")</f>
        <v>Unknown</v>
      </c>
      <c r="I556" t="s">
        <v>68</v>
      </c>
      <c r="J556" t="str">
        <f>IFERROR(_xlfn.XLOOKUP(Table1[[#This Row],[sales_channel]],Table4[Original],Table4[Clean],,0,1),"Unknown")</f>
        <v>Online</v>
      </c>
      <c r="L556" t="str">
        <f>IFERROR(_xlfn.XLOOKUP(Table1[[#This Row],[product]],Table3[Original],Table3[Product_clean],,0,1),"Unknown")</f>
        <v>Unknown</v>
      </c>
      <c r="M556" s="6">
        <v>1</v>
      </c>
      <c r="N556">
        <f>IF(ISNUMBER(Table1[[#This Row],[quantity]]),Table1[[#This Row],[quantity]],IFERROR(VLOOKUP(Table1[[#This Row],[quantity]],Table5[#All],2,FALSE),"Unknown"))</f>
        <v>1</v>
      </c>
      <c r="O556" t="s">
        <v>1273</v>
      </c>
      <c r="P556">
        <f>IFERROR(VALUE(SUBSTITUTE(SUBSTITUTE(SUBSTITUTE(Table1[[#This Row],[revenue]],"EUR",""),"$",""),".",",")),"")</f>
        <v>2353.37</v>
      </c>
      <c r="R556" t="str">
        <f>IF(OR(Table1[[#This Row],[currency]]="EUR",Table1[[#This Row],[currency]]="€"),"EUR",IF(OR(Table1[[#This Row],[currency]]="USD",Table1[[#This Row],[currency]]="$"),"USD","Unknown"))</f>
        <v>Unknown</v>
      </c>
      <c r="S556" t="s">
        <v>23</v>
      </c>
      <c r="T556" t="str">
        <f>IFERROR(_xlfn.XLOOKUP(Table1[[#This Row],[order_status]],Table8[Original],Table8[Clean],,0,1),"Unknown")</f>
        <v>Delivered</v>
      </c>
      <c r="V556" t="str">
        <f>IF(ISNUMBER(Table1[[#This Row],[delivery_days]]),Table1[[#This Row],[delivery_days]],IFERROR(_xlfn.XLOOKUP(Table1[[#This Row],[delivery_days]],Table57[Original],Table57[Clean],,0,1),"Unknown"))</f>
        <v>Unknown</v>
      </c>
      <c r="W556" t="s">
        <v>37</v>
      </c>
    </row>
    <row r="557" spans="1:23" x14ac:dyDescent="0.3">
      <c r="B557" t="str">
        <f>IF(ISBLANK(Table1[[#This Row],[order_id]]),"",IF(LEFT(Table1[[#This Row],[order_id]],3)="ORD",Table1[[#This Row],[order_id]],"ORD-" &amp; Table1[[#This Row],[order_id]]))</f>
        <v/>
      </c>
      <c r="C557" t="s">
        <v>1274</v>
      </c>
      <c r="D557" s="1">
        <f>IFERROR(DATEVALUE(Table1[[#This Row],[order_date]]),"")</f>
        <v>45436</v>
      </c>
      <c r="E557" t="s">
        <v>1275</v>
      </c>
      <c r="F557" t="str">
        <f>IF(ISBLANK(Table1[[#This Row],[customer_name]]),"Unknown Customer",PROPER(SUBSTITUTE(Table1[[#This Row],[customer_name]],"Cust.","Customer")))</f>
        <v>Customer 555</v>
      </c>
      <c r="G557" t="s">
        <v>45</v>
      </c>
      <c r="H557" t="str">
        <f>IFERROR(_xlfn.XLOOKUP(Table1[[#This Row],[region]],Mappings!$C$3:$C$8,Mappings!$D$3:$D$8,,0,1),"Unknown")</f>
        <v>USA</v>
      </c>
      <c r="J557" t="str">
        <f>IFERROR(_xlfn.XLOOKUP(Table1[[#This Row],[sales_channel]],Table4[Original],Table4[Clean],,0,1),"Unknown")</f>
        <v>Unknown</v>
      </c>
      <c r="K557" t="s">
        <v>41</v>
      </c>
      <c r="L557" t="str">
        <f>IFERROR(_xlfn.XLOOKUP(Table1[[#This Row],[product]],Table3[Original],Table3[Product_clean],,0,1),"Unknown")</f>
        <v>Phone</v>
      </c>
      <c r="M557" s="6">
        <v>3</v>
      </c>
      <c r="N557">
        <f>IF(ISNUMBER(Table1[[#This Row],[quantity]]),Table1[[#This Row],[quantity]],IFERROR(VLOOKUP(Table1[[#This Row],[quantity]],Table5[#All],2,FALSE),"Unknown"))</f>
        <v>3</v>
      </c>
      <c r="O557">
        <v>556.73</v>
      </c>
      <c r="P557">
        <f>IFERROR(VALUE(SUBSTITUTE(SUBSTITUTE(SUBSTITUTE(Table1[[#This Row],[revenue]],"EUR",""),"$",""),".",",")),"")</f>
        <v>556.73</v>
      </c>
      <c r="R557" t="str">
        <f>IF(OR(Table1[[#This Row],[currency]]="EUR",Table1[[#This Row],[currency]]="€"),"EUR",IF(OR(Table1[[#This Row],[currency]]="USD",Table1[[#This Row],[currency]]="$"),"USD","Unknown"))</f>
        <v>Unknown</v>
      </c>
      <c r="S557" t="s">
        <v>23</v>
      </c>
      <c r="T557" t="str">
        <f>IFERROR(_xlfn.XLOOKUP(Table1[[#This Row],[order_status]],Table8[Original],Table8[Clean],,0,1),"Unknown")</f>
        <v>Delivered</v>
      </c>
      <c r="U557">
        <v>5</v>
      </c>
      <c r="V557">
        <f>IF(ISNUMBER(Table1[[#This Row],[delivery_days]]),Table1[[#This Row],[delivery_days]],IFERROR(_xlfn.XLOOKUP(Table1[[#This Row],[delivery_days]],Table57[Original],Table57[Clean],,0,1),"Unknown"))</f>
        <v>5</v>
      </c>
    </row>
    <row r="558" spans="1:23" x14ac:dyDescent="0.3">
      <c r="A558" t="s">
        <v>1276</v>
      </c>
      <c r="B558" t="str">
        <f>IF(ISBLANK(Table1[[#This Row],[order_id]]),"",IF(LEFT(Table1[[#This Row],[order_id]],3)="ORD",Table1[[#This Row],[order_id]],"ORD-" &amp; Table1[[#This Row],[order_id]]))</f>
        <v>ORD-1556</v>
      </c>
      <c r="C558" t="s">
        <v>1277</v>
      </c>
      <c r="D558" s="1">
        <f>IFERROR(DATEVALUE(Table1[[#This Row],[order_date]]),"")</f>
        <v>45384</v>
      </c>
      <c r="E558" t="s">
        <v>1278</v>
      </c>
      <c r="F558" t="str">
        <f>IF(ISBLANK(Table1[[#This Row],[customer_name]]),"Unknown Customer",PROPER(SUBSTITUTE(Table1[[#This Row],[customer_name]],"Cust.","Customer")))</f>
        <v>Customer 556</v>
      </c>
      <c r="G558" t="s">
        <v>32</v>
      </c>
      <c r="H558" t="str">
        <f>IFERROR(_xlfn.XLOOKUP(Table1[[#This Row],[region]],Mappings!$C$3:$C$8,Mappings!$D$3:$D$8,,0,1),"Unknown")</f>
        <v>Europe</v>
      </c>
      <c r="I558" t="s">
        <v>14</v>
      </c>
      <c r="J558" t="str">
        <f>IFERROR(_xlfn.XLOOKUP(Table1[[#This Row],[sales_channel]],Table4[Original],Table4[Clean],,0,1),"Unknown")</f>
        <v>Online</v>
      </c>
      <c r="L558" t="str">
        <f>IFERROR(_xlfn.XLOOKUP(Table1[[#This Row],[product]],Table3[Original],Table3[Product_clean],,0,1),"Unknown")</f>
        <v>Unknown</v>
      </c>
      <c r="M558" s="6">
        <v>3</v>
      </c>
      <c r="N558">
        <f>IF(ISNUMBER(Table1[[#This Row],[quantity]]),Table1[[#This Row],[quantity]],IFERROR(VLOOKUP(Table1[[#This Row],[quantity]],Table5[#All],2,FALSE),"Unknown"))</f>
        <v>3</v>
      </c>
      <c r="P558" t="str">
        <f>IFERROR(VALUE(SUBSTITUTE(SUBSTITUTE(SUBSTITUTE(Table1[[#This Row],[revenue]],"EUR",""),"$",""),".",",")),"")</f>
        <v/>
      </c>
      <c r="Q558" t="s">
        <v>17</v>
      </c>
      <c r="R558" t="str">
        <f>IF(OR(Table1[[#This Row],[currency]]="EUR",Table1[[#This Row],[currency]]="€"),"EUR",IF(OR(Table1[[#This Row],[currency]]="USD",Table1[[#This Row],[currency]]="$"),"USD","Unknown"))</f>
        <v>EUR</v>
      </c>
      <c r="S558" t="s">
        <v>47</v>
      </c>
      <c r="T558" t="str">
        <f>IFERROR(_xlfn.XLOOKUP(Table1[[#This Row],[order_status]],Table8[Original],Table8[Clean],,0,1),"Unknown")</f>
        <v>Returned</v>
      </c>
      <c r="U558">
        <v>1</v>
      </c>
      <c r="V558">
        <f>IF(ISNUMBER(Table1[[#This Row],[delivery_days]]),Table1[[#This Row],[delivery_days]],IFERROR(_xlfn.XLOOKUP(Table1[[#This Row],[delivery_days]],Table57[Original],Table57[Clean],,0,1),"Unknown"))</f>
        <v>1</v>
      </c>
      <c r="W558" t="s">
        <v>37</v>
      </c>
    </row>
    <row r="559" spans="1:23" x14ac:dyDescent="0.3">
      <c r="B559" t="str">
        <f>IF(ISBLANK(Table1[[#This Row],[order_id]]),"",IF(LEFT(Table1[[#This Row],[order_id]],3)="ORD",Table1[[#This Row],[order_id]],"ORD-" &amp; Table1[[#This Row],[order_id]]))</f>
        <v/>
      </c>
      <c r="C559" t="s">
        <v>1279</v>
      </c>
      <c r="D559" s="1">
        <f>IFERROR(DATEVALUE(Table1[[#This Row],[order_date]]),"")</f>
        <v>45545</v>
      </c>
      <c r="E559" t="s">
        <v>1280</v>
      </c>
      <c r="F559" t="str">
        <f>IF(ISBLANK(Table1[[#This Row],[customer_name]]),"Unknown Customer",PROPER(SUBSTITUTE(Table1[[#This Row],[customer_name]],"Cust.","Customer")))</f>
        <v>Customer 557</v>
      </c>
      <c r="G559" t="s">
        <v>26</v>
      </c>
      <c r="H559" t="str">
        <f>IFERROR(_xlfn.XLOOKUP(Table1[[#This Row],[region]],Mappings!$C$3:$C$8,Mappings!$D$3:$D$8,,0,1),"Unknown")</f>
        <v>Asia</v>
      </c>
      <c r="I559" t="s">
        <v>78</v>
      </c>
      <c r="J559" t="str">
        <f>IFERROR(_xlfn.XLOOKUP(Table1[[#This Row],[sales_channel]],Table4[Original],Table4[Clean],,0,1),"Unknown")</f>
        <v>Mobile</v>
      </c>
      <c r="K559" t="s">
        <v>51</v>
      </c>
      <c r="L559" t="str">
        <f>IFERROR(_xlfn.XLOOKUP(Table1[[#This Row],[product]],Table3[Original],Table3[Product_clean],,0,1),"Unknown")</f>
        <v>Laptop</v>
      </c>
      <c r="M559" s="6" t="s">
        <v>83</v>
      </c>
      <c r="N559">
        <f>IF(ISNUMBER(Table1[[#This Row],[quantity]]),Table1[[#This Row],[quantity]],IFERROR(VLOOKUP(Table1[[#This Row],[quantity]],Table5[#All],2,FALSE),"Unknown"))</f>
        <v>2</v>
      </c>
      <c r="O559" t="s">
        <v>1281</v>
      </c>
      <c r="P559">
        <f>IFERROR(VALUE(SUBSTITUTE(SUBSTITUTE(SUBSTITUTE(Table1[[#This Row],[revenue]],"EUR",""),"$",""),".",",")),"")</f>
        <v>2298.71</v>
      </c>
      <c r="Q559" t="s">
        <v>55</v>
      </c>
      <c r="R559" t="str">
        <f>IF(OR(Table1[[#This Row],[currency]]="EUR",Table1[[#This Row],[currency]]="€"),"EUR",IF(OR(Table1[[#This Row],[currency]]="USD",Table1[[#This Row],[currency]]="$"),"USD","Unknown"))</f>
        <v>EUR</v>
      </c>
      <c r="S559" t="s">
        <v>47</v>
      </c>
      <c r="T559" t="str">
        <f>IFERROR(_xlfn.XLOOKUP(Table1[[#This Row],[order_status]],Table8[Original],Table8[Clean],,0,1),"Unknown")</f>
        <v>Returned</v>
      </c>
      <c r="U559" t="s">
        <v>36</v>
      </c>
      <c r="V559">
        <f>IF(ISNUMBER(Table1[[#This Row],[delivery_days]]),Table1[[#This Row],[delivery_days]],IFERROR(_xlfn.XLOOKUP(Table1[[#This Row],[delivery_days]],Table57[Original],Table57[Clean],,0,1),"Unknown"))</f>
        <v>5</v>
      </c>
      <c r="W559" t="s">
        <v>24</v>
      </c>
    </row>
    <row r="560" spans="1:23" x14ac:dyDescent="0.3">
      <c r="A560">
        <v>1558</v>
      </c>
      <c r="B560" t="str">
        <f>IF(ISBLANK(Table1[[#This Row],[order_id]]),"",IF(LEFT(Table1[[#This Row],[order_id]],3)="ORD",Table1[[#This Row],[order_id]],"ORD-" &amp; Table1[[#This Row],[order_id]]))</f>
        <v>ORD-1558</v>
      </c>
      <c r="D560" s="1" t="str">
        <f>IFERROR(DATEVALUE(Table1[[#This Row],[order_date]]),"")</f>
        <v/>
      </c>
      <c r="E560" t="s">
        <v>1282</v>
      </c>
      <c r="F560" t="str">
        <f>IF(ISBLANK(Table1[[#This Row],[customer_name]]),"Unknown Customer",PROPER(SUBSTITUTE(Table1[[#This Row],[customer_name]],"Cust.","Customer")))</f>
        <v>Customer 558</v>
      </c>
      <c r="H560" t="str">
        <f>IFERROR(_xlfn.XLOOKUP(Table1[[#This Row],[region]],Mappings!$C$3:$C$8,Mappings!$D$3:$D$8,,0,1),"Unknown")</f>
        <v>Unknown</v>
      </c>
      <c r="I560" t="s">
        <v>78</v>
      </c>
      <c r="J560" t="str">
        <f>IFERROR(_xlfn.XLOOKUP(Table1[[#This Row],[sales_channel]],Table4[Original],Table4[Clean],,0,1),"Unknown")</f>
        <v>Mobile</v>
      </c>
      <c r="K560" t="s">
        <v>28</v>
      </c>
      <c r="L560" t="str">
        <f>IFERROR(_xlfn.XLOOKUP(Table1[[#This Row],[product]],Table3[Original],Table3[Product_clean],,0,1),"Unknown")</f>
        <v>Laptop</v>
      </c>
      <c r="M560" s="6">
        <v>1</v>
      </c>
      <c r="N560">
        <f>IF(ISNUMBER(Table1[[#This Row],[quantity]]),Table1[[#This Row],[quantity]],IFERROR(VLOOKUP(Table1[[#This Row],[quantity]],Table5[#All],2,FALSE),"Unknown"))</f>
        <v>1</v>
      </c>
      <c r="P560" t="str">
        <f>IFERROR(VALUE(SUBSTITUTE(SUBSTITUTE(SUBSTITUTE(Table1[[#This Row],[revenue]],"EUR",""),"$",""),".",",")),"")</f>
        <v/>
      </c>
      <c r="Q560" t="s">
        <v>22</v>
      </c>
      <c r="R560" t="str">
        <f>IF(OR(Table1[[#This Row],[currency]]="EUR",Table1[[#This Row],[currency]]="€"),"EUR",IF(OR(Table1[[#This Row],[currency]]="USD",Table1[[#This Row],[currency]]="$"),"USD","Unknown"))</f>
        <v>USD</v>
      </c>
      <c r="T560" t="str">
        <f>IFERROR(_xlfn.XLOOKUP(Table1[[#This Row],[order_status]],Table8[Original],Table8[Clean],,0,1),"Unknown")</f>
        <v>Unknown</v>
      </c>
      <c r="U560">
        <v>3</v>
      </c>
      <c r="V560">
        <f>IF(ISNUMBER(Table1[[#This Row],[delivery_days]]),Table1[[#This Row],[delivery_days]],IFERROR(_xlfn.XLOOKUP(Table1[[#This Row],[delivery_days]],Table57[Original],Table57[Clean],,0,1),"Unknown"))</f>
        <v>3</v>
      </c>
      <c r="W560" t="s">
        <v>37</v>
      </c>
    </row>
    <row r="561" spans="1:23" x14ac:dyDescent="0.3">
      <c r="B561" t="str">
        <f>IF(ISBLANK(Table1[[#This Row],[order_id]]),"",IF(LEFT(Table1[[#This Row],[order_id]],3)="ORD",Table1[[#This Row],[order_id]],"ORD-" &amp; Table1[[#This Row],[order_id]]))</f>
        <v/>
      </c>
      <c r="C561" t="s">
        <v>1033</v>
      </c>
      <c r="D561" s="1">
        <f>IFERROR(DATEVALUE(Table1[[#This Row],[order_date]]),"")</f>
        <v>45298</v>
      </c>
      <c r="F561" t="str">
        <f>IF(ISBLANK(Table1[[#This Row],[customer_name]]),"Unknown Customer",PROPER(SUBSTITUTE(Table1[[#This Row],[customer_name]],"Cust.","Customer")))</f>
        <v>Unknown Customer</v>
      </c>
      <c r="G561" t="s">
        <v>32</v>
      </c>
      <c r="H561" t="str">
        <f>IFERROR(_xlfn.XLOOKUP(Table1[[#This Row],[region]],Mappings!$C$3:$C$8,Mappings!$D$3:$D$8,,0,1),"Unknown")</f>
        <v>Europe</v>
      </c>
      <c r="I561" t="s">
        <v>68</v>
      </c>
      <c r="J561" t="str">
        <f>IFERROR(_xlfn.XLOOKUP(Table1[[#This Row],[sales_channel]],Table4[Original],Table4[Clean],,0,1),"Unknown")</f>
        <v>Online</v>
      </c>
      <c r="K561" t="s">
        <v>15</v>
      </c>
      <c r="L561" t="str">
        <f>IFERROR(_xlfn.XLOOKUP(Table1[[#This Row],[product]],Table3[Original],Table3[Product_clean],,0,1),"Unknown")</f>
        <v>Tablet</v>
      </c>
      <c r="M561" s="6">
        <v>1</v>
      </c>
      <c r="N561">
        <f>IF(ISNUMBER(Table1[[#This Row],[quantity]]),Table1[[#This Row],[quantity]],IFERROR(VLOOKUP(Table1[[#This Row],[quantity]],Table5[#All],2,FALSE),"Unknown"))</f>
        <v>1</v>
      </c>
      <c r="P561" t="str">
        <f>IFERROR(VALUE(SUBSTITUTE(SUBSTITUTE(SUBSTITUTE(Table1[[#This Row],[revenue]],"EUR",""),"$",""),".",",")),"")</f>
        <v/>
      </c>
      <c r="Q561" t="s">
        <v>17</v>
      </c>
      <c r="R561" t="str">
        <f>IF(OR(Table1[[#This Row],[currency]]="EUR",Table1[[#This Row],[currency]]="€"),"EUR",IF(OR(Table1[[#This Row],[currency]]="USD",Table1[[#This Row],[currency]]="$"),"USD","Unknown"))</f>
        <v>EUR</v>
      </c>
      <c r="S561" t="s">
        <v>23</v>
      </c>
      <c r="T561" t="str">
        <f>IFERROR(_xlfn.XLOOKUP(Table1[[#This Row],[order_status]],Table8[Original],Table8[Clean],,0,1),"Unknown")</f>
        <v>Delivered</v>
      </c>
      <c r="U561">
        <v>5</v>
      </c>
      <c r="V561">
        <f>IF(ISNUMBER(Table1[[#This Row],[delivery_days]]),Table1[[#This Row],[delivery_days]],IFERROR(_xlfn.XLOOKUP(Table1[[#This Row],[delivery_days]],Table57[Original],Table57[Clean],,0,1),"Unknown"))</f>
        <v>5</v>
      </c>
    </row>
    <row r="562" spans="1:23" x14ac:dyDescent="0.3">
      <c r="B562" t="str">
        <f>IF(ISBLANK(Table1[[#This Row],[order_id]]),"",IF(LEFT(Table1[[#This Row],[order_id]],3)="ORD",Table1[[#This Row],[order_id]],"ORD-" &amp; Table1[[#This Row],[order_id]]))</f>
        <v/>
      </c>
      <c r="C562" t="s">
        <v>1283</v>
      </c>
      <c r="D562" s="1">
        <f>IFERROR(DATEVALUE(Table1[[#This Row],[order_date]]),"")</f>
        <v>45647</v>
      </c>
      <c r="E562" t="s">
        <v>1284</v>
      </c>
      <c r="F562" t="str">
        <f>IF(ISBLANK(Table1[[#This Row],[customer_name]]),"Unknown Customer",PROPER(SUBSTITUTE(Table1[[#This Row],[customer_name]],"Cust.","Customer")))</f>
        <v>Customer 560</v>
      </c>
      <c r="G562" t="s">
        <v>26</v>
      </c>
      <c r="H562" t="str">
        <f>IFERROR(_xlfn.XLOOKUP(Table1[[#This Row],[region]],Mappings!$C$3:$C$8,Mappings!$D$3:$D$8,,0,1),"Unknown")</f>
        <v>Asia</v>
      </c>
      <c r="I562" t="s">
        <v>27</v>
      </c>
      <c r="J562" t="str">
        <f>IFERROR(_xlfn.XLOOKUP(Table1[[#This Row],[sales_channel]],Table4[Original],Table4[Clean],,0,1),"Unknown")</f>
        <v>Online</v>
      </c>
      <c r="K562" t="s">
        <v>102</v>
      </c>
      <c r="L562" t="str">
        <f>IFERROR(_xlfn.XLOOKUP(Table1[[#This Row],[product]],Table3[Original],Table3[Product_clean],,0,1),"Unknown")</f>
        <v>Phone</v>
      </c>
      <c r="M562" s="6">
        <v>2</v>
      </c>
      <c r="N562">
        <f>IF(ISNUMBER(Table1[[#This Row],[quantity]]),Table1[[#This Row],[quantity]],IFERROR(VLOOKUP(Table1[[#This Row],[quantity]],Table5[#All],2,FALSE),"Unknown"))</f>
        <v>2</v>
      </c>
      <c r="O562">
        <v>1792.14</v>
      </c>
      <c r="P562">
        <f>IFERROR(VALUE(SUBSTITUTE(SUBSTITUTE(SUBSTITUTE(Table1[[#This Row],[revenue]],"EUR",""),"$",""),".",",")),"")</f>
        <v>1792.14</v>
      </c>
      <c r="R562" t="str">
        <f>IF(OR(Table1[[#This Row],[currency]]="EUR",Table1[[#This Row],[currency]]="€"),"EUR",IF(OR(Table1[[#This Row],[currency]]="USD",Table1[[#This Row],[currency]]="$"),"USD","Unknown"))</f>
        <v>Unknown</v>
      </c>
      <c r="S562" t="s">
        <v>47</v>
      </c>
      <c r="T562" t="str">
        <f>IFERROR(_xlfn.XLOOKUP(Table1[[#This Row],[order_status]],Table8[Original],Table8[Clean],,0,1),"Unknown")</f>
        <v>Returned</v>
      </c>
      <c r="U562">
        <v>1</v>
      </c>
      <c r="V562">
        <f>IF(ISNUMBER(Table1[[#This Row],[delivery_days]]),Table1[[#This Row],[delivery_days]],IFERROR(_xlfn.XLOOKUP(Table1[[#This Row],[delivery_days]],Table57[Original],Table57[Clean],,0,1),"Unknown"))</f>
        <v>1</v>
      </c>
      <c r="W562" t="s">
        <v>37</v>
      </c>
    </row>
    <row r="563" spans="1:23" x14ac:dyDescent="0.3">
      <c r="B563" t="str">
        <f>IF(ISBLANK(Table1[[#This Row],[order_id]]),"",IF(LEFT(Table1[[#This Row],[order_id]],3)="ORD",Table1[[#This Row],[order_id]],"ORD-" &amp; Table1[[#This Row],[order_id]]))</f>
        <v/>
      </c>
      <c r="C563" t="s">
        <v>1285</v>
      </c>
      <c r="D563" s="1">
        <f>IFERROR(DATEVALUE(Table1[[#This Row],[order_date]]),"")</f>
        <v>45420</v>
      </c>
      <c r="F563" t="str">
        <f>IF(ISBLANK(Table1[[#This Row],[customer_name]]),"Unknown Customer",PROPER(SUBSTITUTE(Table1[[#This Row],[customer_name]],"Cust.","Customer")))</f>
        <v>Unknown Customer</v>
      </c>
      <c r="G563" t="s">
        <v>26</v>
      </c>
      <c r="H563" t="str">
        <f>IFERROR(_xlfn.XLOOKUP(Table1[[#This Row],[region]],Mappings!$C$3:$C$8,Mappings!$D$3:$D$8,,0,1),"Unknown")</f>
        <v>Asia</v>
      </c>
      <c r="I563" t="s">
        <v>78</v>
      </c>
      <c r="J563" t="str">
        <f>IFERROR(_xlfn.XLOOKUP(Table1[[#This Row],[sales_channel]],Table4[Original],Table4[Clean],,0,1),"Unknown")</f>
        <v>Mobile</v>
      </c>
      <c r="K563" t="s">
        <v>15</v>
      </c>
      <c r="L563" t="str">
        <f>IFERROR(_xlfn.XLOOKUP(Table1[[#This Row],[product]],Table3[Original],Table3[Product_clean],,0,1),"Unknown")</f>
        <v>Tablet</v>
      </c>
      <c r="M563" s="6"/>
      <c r="N563" t="str">
        <f>IF(ISNUMBER(Table1[[#This Row],[quantity]]),Table1[[#This Row],[quantity]],IFERROR(VLOOKUP(Table1[[#This Row],[quantity]],Table5[#All],2,FALSE),"Unknown"))</f>
        <v>Unknown</v>
      </c>
      <c r="O563" t="s">
        <v>1286</v>
      </c>
      <c r="P563">
        <f>IFERROR(VALUE(SUBSTITUTE(SUBSTITUTE(SUBSTITUTE(Table1[[#This Row],[revenue]],"EUR",""),"$",""),".",",")),"")</f>
        <v>2189.34</v>
      </c>
      <c r="Q563" t="s">
        <v>22</v>
      </c>
      <c r="R563" t="str">
        <f>IF(OR(Table1[[#This Row],[currency]]="EUR",Table1[[#This Row],[currency]]="€"),"EUR",IF(OR(Table1[[#This Row],[currency]]="USD",Table1[[#This Row],[currency]]="$"),"USD","Unknown"))</f>
        <v>USD</v>
      </c>
      <c r="S563" t="s">
        <v>47</v>
      </c>
      <c r="T563" t="str">
        <f>IFERROR(_xlfn.XLOOKUP(Table1[[#This Row],[order_status]],Table8[Original],Table8[Clean],,0,1),"Unknown")</f>
        <v>Returned</v>
      </c>
      <c r="U563" t="s">
        <v>36</v>
      </c>
      <c r="V563">
        <f>IF(ISNUMBER(Table1[[#This Row],[delivery_days]]),Table1[[#This Row],[delivery_days]],IFERROR(_xlfn.XLOOKUP(Table1[[#This Row],[delivery_days]],Table57[Original],Table57[Clean],,0,1),"Unknown"))</f>
        <v>5</v>
      </c>
      <c r="W563" t="s">
        <v>24</v>
      </c>
    </row>
    <row r="564" spans="1:23" x14ac:dyDescent="0.3">
      <c r="A564">
        <v>1562</v>
      </c>
      <c r="B564" t="str">
        <f>IF(ISBLANK(Table1[[#This Row],[order_id]]),"",IF(LEFT(Table1[[#This Row],[order_id]],3)="ORD",Table1[[#This Row],[order_id]],"ORD-" &amp; Table1[[#This Row],[order_id]]))</f>
        <v>ORD-1562</v>
      </c>
      <c r="C564" t="s">
        <v>1287</v>
      </c>
      <c r="D564" s="1" t="str">
        <f>IFERROR(DATEVALUE(Table1[[#This Row],[order_date]]),"")</f>
        <v/>
      </c>
      <c r="F564" t="str">
        <f>IF(ISBLANK(Table1[[#This Row],[customer_name]]),"Unknown Customer",PROPER(SUBSTITUTE(Table1[[#This Row],[customer_name]],"Cust.","Customer")))</f>
        <v>Unknown Customer</v>
      </c>
      <c r="G564" t="s">
        <v>32</v>
      </c>
      <c r="H564" t="str">
        <f>IFERROR(_xlfn.XLOOKUP(Table1[[#This Row],[region]],Mappings!$C$3:$C$8,Mappings!$D$3:$D$8,,0,1),"Unknown")</f>
        <v>Europe</v>
      </c>
      <c r="I564" t="s">
        <v>27</v>
      </c>
      <c r="J564" t="str">
        <f>IFERROR(_xlfn.XLOOKUP(Table1[[#This Row],[sales_channel]],Table4[Original],Table4[Clean],,0,1),"Unknown")</f>
        <v>Online</v>
      </c>
      <c r="K564" t="s">
        <v>15</v>
      </c>
      <c r="L564" t="str">
        <f>IFERROR(_xlfn.XLOOKUP(Table1[[#This Row],[product]],Table3[Original],Table3[Product_clean],,0,1),"Unknown")</f>
        <v>Tablet</v>
      </c>
      <c r="M564" s="6">
        <v>2</v>
      </c>
      <c r="N564">
        <f>IF(ISNUMBER(Table1[[#This Row],[quantity]]),Table1[[#This Row],[quantity]],IFERROR(VLOOKUP(Table1[[#This Row],[quantity]],Table5[#All],2,FALSE),"Unknown"))</f>
        <v>2</v>
      </c>
      <c r="O564">
        <v>2315.6</v>
      </c>
      <c r="P564">
        <f>IFERROR(VALUE(SUBSTITUTE(SUBSTITUTE(SUBSTITUTE(Table1[[#This Row],[revenue]],"EUR",""),"$",""),".",",")),"")</f>
        <v>2315.6</v>
      </c>
      <c r="Q564" t="s">
        <v>17</v>
      </c>
      <c r="R564" t="str">
        <f>IF(OR(Table1[[#This Row],[currency]]="EUR",Table1[[#This Row],[currency]]="€"),"EUR",IF(OR(Table1[[#This Row],[currency]]="USD",Table1[[#This Row],[currency]]="$"),"USD","Unknown"))</f>
        <v>EUR</v>
      </c>
      <c r="S564" t="s">
        <v>30</v>
      </c>
      <c r="T564" t="str">
        <f>IFERROR(_xlfn.XLOOKUP(Table1[[#This Row],[order_status]],Table8[Original],Table8[Clean],,0,1),"Unknown")</f>
        <v>Delivered</v>
      </c>
      <c r="V564" t="str">
        <f>IF(ISNUMBER(Table1[[#This Row],[delivery_days]]),Table1[[#This Row],[delivery_days]],IFERROR(_xlfn.XLOOKUP(Table1[[#This Row],[delivery_days]],Table57[Original],Table57[Clean],,0,1),"Unknown"))</f>
        <v>Unknown</v>
      </c>
    </row>
    <row r="565" spans="1:23" x14ac:dyDescent="0.3">
      <c r="A565">
        <v>1563</v>
      </c>
      <c r="B565" t="str">
        <f>IF(ISBLANK(Table1[[#This Row],[order_id]]),"",IF(LEFT(Table1[[#This Row],[order_id]],3)="ORD",Table1[[#This Row],[order_id]],"ORD-" &amp; Table1[[#This Row],[order_id]]))</f>
        <v>ORD-1563</v>
      </c>
      <c r="D565" s="1" t="str">
        <f>IFERROR(DATEVALUE(Table1[[#This Row],[order_date]]),"")</f>
        <v/>
      </c>
      <c r="E565" t="s">
        <v>1288</v>
      </c>
      <c r="F565" t="str">
        <f>IF(ISBLANK(Table1[[#This Row],[customer_name]]),"Unknown Customer",PROPER(SUBSTITUTE(Table1[[#This Row],[customer_name]],"Cust.","Customer")))</f>
        <v>Customer 563</v>
      </c>
      <c r="G565" t="s">
        <v>54</v>
      </c>
      <c r="H565" t="str">
        <f>IFERROR(_xlfn.XLOOKUP(Table1[[#This Row],[region]],Mappings!$C$3:$C$8,Mappings!$D$3:$D$8,,0,1),"Unknown")</f>
        <v>USA</v>
      </c>
      <c r="I565" t="s">
        <v>50</v>
      </c>
      <c r="J565" t="str">
        <f>IFERROR(_xlfn.XLOOKUP(Table1[[#This Row],[sales_channel]],Table4[Original],Table4[Clean],,0,1),"Unknown")</f>
        <v>Mobile</v>
      </c>
      <c r="K565" t="s">
        <v>33</v>
      </c>
      <c r="L565" t="str">
        <f>IFERROR(_xlfn.XLOOKUP(Table1[[#This Row],[product]],Table3[Original],Table3[Product_clean],,0,1),"Unknown")</f>
        <v>Tablet</v>
      </c>
      <c r="M565" s="6"/>
      <c r="N565" t="str">
        <f>IF(ISNUMBER(Table1[[#This Row],[quantity]]),Table1[[#This Row],[quantity]],IFERROR(VLOOKUP(Table1[[#This Row],[quantity]],Table5[#All],2,FALSE),"Unknown"))</f>
        <v>Unknown</v>
      </c>
      <c r="O565">
        <v>1519.5</v>
      </c>
      <c r="P565">
        <f>IFERROR(VALUE(SUBSTITUTE(SUBSTITUTE(SUBSTITUTE(Table1[[#This Row],[revenue]],"EUR",""),"$",""),".",",")),"")</f>
        <v>1519.5</v>
      </c>
      <c r="Q565" t="s">
        <v>17</v>
      </c>
      <c r="R565" t="str">
        <f>IF(OR(Table1[[#This Row],[currency]]="EUR",Table1[[#This Row],[currency]]="€"),"EUR",IF(OR(Table1[[#This Row],[currency]]="USD",Table1[[#This Row],[currency]]="$"),"USD","Unknown"))</f>
        <v>EUR</v>
      </c>
      <c r="S565" t="s">
        <v>30</v>
      </c>
      <c r="T565" t="str">
        <f>IFERROR(_xlfn.XLOOKUP(Table1[[#This Row],[order_status]],Table8[Original],Table8[Clean],,0,1),"Unknown")</f>
        <v>Delivered</v>
      </c>
      <c r="V565" t="str">
        <f>IF(ISNUMBER(Table1[[#This Row],[delivery_days]]),Table1[[#This Row],[delivery_days]],IFERROR(_xlfn.XLOOKUP(Table1[[#This Row],[delivery_days]],Table57[Original],Table57[Clean],,0,1),"Unknown"))</f>
        <v>Unknown</v>
      </c>
    </row>
    <row r="566" spans="1:23" x14ac:dyDescent="0.3">
      <c r="B566" t="str">
        <f>IF(ISBLANK(Table1[[#This Row],[order_id]]),"",IF(LEFT(Table1[[#This Row],[order_id]],3)="ORD",Table1[[#This Row],[order_id]],"ORD-" &amp; Table1[[#This Row],[order_id]]))</f>
        <v/>
      </c>
      <c r="D566" s="1" t="str">
        <f>IFERROR(DATEVALUE(Table1[[#This Row],[order_date]]),"")</f>
        <v/>
      </c>
      <c r="F566" t="str">
        <f>IF(ISBLANK(Table1[[#This Row],[customer_name]]),"Unknown Customer",PROPER(SUBSTITUTE(Table1[[#This Row],[customer_name]],"Cust.","Customer")))</f>
        <v>Unknown Customer</v>
      </c>
      <c r="G566" t="s">
        <v>45</v>
      </c>
      <c r="H566" t="str">
        <f>IFERROR(_xlfn.XLOOKUP(Table1[[#This Row],[region]],Mappings!$C$3:$C$8,Mappings!$D$3:$D$8,,0,1),"Unknown")</f>
        <v>USA</v>
      </c>
      <c r="I566" t="s">
        <v>50</v>
      </c>
      <c r="J566" t="str">
        <f>IFERROR(_xlfn.XLOOKUP(Table1[[#This Row],[sales_channel]],Table4[Original],Table4[Clean],,0,1),"Unknown")</f>
        <v>Mobile</v>
      </c>
      <c r="K566" t="s">
        <v>33</v>
      </c>
      <c r="L566" t="str">
        <f>IFERROR(_xlfn.XLOOKUP(Table1[[#This Row],[product]],Table3[Original],Table3[Product_clean],,0,1),"Unknown")</f>
        <v>Tablet</v>
      </c>
      <c r="M566" s="6">
        <v>3</v>
      </c>
      <c r="N566">
        <f>IF(ISNUMBER(Table1[[#This Row],[quantity]]),Table1[[#This Row],[quantity]],IFERROR(VLOOKUP(Table1[[#This Row],[quantity]],Table5[#All],2,FALSE),"Unknown"))</f>
        <v>3</v>
      </c>
      <c r="O566" t="s">
        <v>1289</v>
      </c>
      <c r="P566">
        <f>IFERROR(VALUE(SUBSTITUTE(SUBSTITUTE(SUBSTITUTE(Table1[[#This Row],[revenue]],"EUR",""),"$",""),".",",")),"")</f>
        <v>1424.76</v>
      </c>
      <c r="R566" t="str">
        <f>IF(OR(Table1[[#This Row],[currency]]="EUR",Table1[[#This Row],[currency]]="€"),"EUR",IF(OR(Table1[[#This Row],[currency]]="USD",Table1[[#This Row],[currency]]="$"),"USD","Unknown"))</f>
        <v>Unknown</v>
      </c>
      <c r="S566" t="s">
        <v>18</v>
      </c>
      <c r="T566" t="str">
        <f>IFERROR(_xlfn.XLOOKUP(Table1[[#This Row],[order_status]],Table8[Original],Table8[Clean],,0,1),"Unknown")</f>
        <v>Pending</v>
      </c>
      <c r="U566">
        <v>1</v>
      </c>
      <c r="V566">
        <f>IF(ISNUMBER(Table1[[#This Row],[delivery_days]]),Table1[[#This Row],[delivery_days]],IFERROR(_xlfn.XLOOKUP(Table1[[#This Row],[delivery_days]],Table57[Original],Table57[Clean],,0,1),"Unknown"))</f>
        <v>1</v>
      </c>
    </row>
    <row r="567" spans="1:23" x14ac:dyDescent="0.3">
      <c r="A567" t="s">
        <v>1290</v>
      </c>
      <c r="B567" t="str">
        <f>IF(ISBLANK(Table1[[#This Row],[order_id]]),"",IF(LEFT(Table1[[#This Row],[order_id]],3)="ORD",Table1[[#This Row],[order_id]],"ORD-" &amp; Table1[[#This Row],[order_id]]))</f>
        <v>ORD-1565</v>
      </c>
      <c r="D567" s="1" t="str">
        <f>IFERROR(DATEVALUE(Table1[[#This Row],[order_date]]),"")</f>
        <v/>
      </c>
      <c r="E567" t="s">
        <v>1291</v>
      </c>
      <c r="F567" t="str">
        <f>IF(ISBLANK(Table1[[#This Row],[customer_name]]),"Unknown Customer",PROPER(SUBSTITUTE(Table1[[#This Row],[customer_name]],"Cust.","Customer")))</f>
        <v>Customer 565</v>
      </c>
      <c r="H567" t="str">
        <f>IFERROR(_xlfn.XLOOKUP(Table1[[#This Row],[region]],Mappings!$C$3:$C$8,Mappings!$D$3:$D$8,,0,1),"Unknown")</f>
        <v>Unknown</v>
      </c>
      <c r="I567" t="s">
        <v>78</v>
      </c>
      <c r="J567" t="str">
        <f>IFERROR(_xlfn.XLOOKUP(Table1[[#This Row],[sales_channel]],Table4[Original],Table4[Clean],,0,1),"Unknown")</f>
        <v>Mobile</v>
      </c>
      <c r="K567" t="s">
        <v>41</v>
      </c>
      <c r="L567" t="str">
        <f>IFERROR(_xlfn.XLOOKUP(Table1[[#This Row],[product]],Table3[Original],Table3[Product_clean],,0,1),"Unknown")</f>
        <v>Phone</v>
      </c>
      <c r="M567" s="6" t="s">
        <v>83</v>
      </c>
      <c r="N567">
        <f>IF(ISNUMBER(Table1[[#This Row],[quantity]]),Table1[[#This Row],[quantity]],IFERROR(VLOOKUP(Table1[[#This Row],[quantity]],Table5[#All],2,FALSE),"Unknown"))</f>
        <v>2</v>
      </c>
      <c r="O567">
        <v>2646.37</v>
      </c>
      <c r="P567">
        <f>IFERROR(VALUE(SUBSTITUTE(SUBSTITUTE(SUBSTITUTE(Table1[[#This Row],[revenue]],"EUR",""),"$",""),".",",")),"")</f>
        <v>2646.37</v>
      </c>
      <c r="Q567" t="s">
        <v>17</v>
      </c>
      <c r="R567" t="str">
        <f>IF(OR(Table1[[#This Row],[currency]]="EUR",Table1[[#This Row],[currency]]="€"),"EUR",IF(OR(Table1[[#This Row],[currency]]="USD",Table1[[#This Row],[currency]]="$"),"USD","Unknown"))</f>
        <v>EUR</v>
      </c>
      <c r="S567" t="s">
        <v>30</v>
      </c>
      <c r="T567" t="str">
        <f>IFERROR(_xlfn.XLOOKUP(Table1[[#This Row],[order_status]],Table8[Original],Table8[Clean],,0,1),"Unknown")</f>
        <v>Delivered</v>
      </c>
      <c r="U567">
        <v>2</v>
      </c>
      <c r="V567">
        <f>IF(ISNUMBER(Table1[[#This Row],[delivery_days]]),Table1[[#This Row],[delivery_days]],IFERROR(_xlfn.XLOOKUP(Table1[[#This Row],[delivery_days]],Table57[Original],Table57[Clean],,0,1),"Unknown"))</f>
        <v>2</v>
      </c>
      <c r="W567" t="s">
        <v>24</v>
      </c>
    </row>
    <row r="568" spans="1:23" x14ac:dyDescent="0.3">
      <c r="A568">
        <v>1566</v>
      </c>
      <c r="B568" t="str">
        <f>IF(ISBLANK(Table1[[#This Row],[order_id]]),"",IF(LEFT(Table1[[#This Row],[order_id]],3)="ORD",Table1[[#This Row],[order_id]],"ORD-" &amp; Table1[[#This Row],[order_id]]))</f>
        <v>ORD-1566</v>
      </c>
      <c r="C568" t="s">
        <v>1292</v>
      </c>
      <c r="D568" s="1" t="str">
        <f>IFERROR(DATEVALUE(Table1[[#This Row],[order_date]]),"")</f>
        <v/>
      </c>
      <c r="F568" t="str">
        <f>IF(ISBLANK(Table1[[#This Row],[customer_name]]),"Unknown Customer",PROPER(SUBSTITUTE(Table1[[#This Row],[customer_name]],"Cust.","Customer")))</f>
        <v>Unknown Customer</v>
      </c>
      <c r="G568" t="s">
        <v>32</v>
      </c>
      <c r="H568" t="str">
        <f>IFERROR(_xlfn.XLOOKUP(Table1[[#This Row],[region]],Mappings!$C$3:$C$8,Mappings!$D$3:$D$8,,0,1),"Unknown")</f>
        <v>Europe</v>
      </c>
      <c r="I568" t="s">
        <v>14</v>
      </c>
      <c r="J568" t="str">
        <f>IFERROR(_xlfn.XLOOKUP(Table1[[#This Row],[sales_channel]],Table4[Original],Table4[Clean],,0,1),"Unknown")</f>
        <v>Online</v>
      </c>
      <c r="K568" t="s">
        <v>33</v>
      </c>
      <c r="L568" t="str">
        <f>IFERROR(_xlfn.XLOOKUP(Table1[[#This Row],[product]],Table3[Original],Table3[Product_clean],,0,1),"Unknown")</f>
        <v>Tablet</v>
      </c>
      <c r="M568" s="6" t="s">
        <v>83</v>
      </c>
      <c r="N568">
        <f>IF(ISNUMBER(Table1[[#This Row],[quantity]]),Table1[[#This Row],[quantity]],IFERROR(VLOOKUP(Table1[[#This Row],[quantity]],Table5[#All],2,FALSE),"Unknown"))</f>
        <v>2</v>
      </c>
      <c r="P568" t="str">
        <f>IFERROR(VALUE(SUBSTITUTE(SUBSTITUTE(SUBSTITUTE(Table1[[#This Row],[revenue]],"EUR",""),"$",""),".",",")),"")</f>
        <v/>
      </c>
      <c r="R568" t="str">
        <f>IF(OR(Table1[[#This Row],[currency]]="EUR",Table1[[#This Row],[currency]]="€"),"EUR",IF(OR(Table1[[#This Row],[currency]]="USD",Table1[[#This Row],[currency]]="$"),"USD","Unknown"))</f>
        <v>Unknown</v>
      </c>
      <c r="T568" t="str">
        <f>IFERROR(_xlfn.XLOOKUP(Table1[[#This Row],[order_status]],Table8[Original],Table8[Clean],,0,1),"Unknown")</f>
        <v>Unknown</v>
      </c>
      <c r="U568" t="s">
        <v>36</v>
      </c>
      <c r="V568">
        <f>IF(ISNUMBER(Table1[[#This Row],[delivery_days]]),Table1[[#This Row],[delivery_days]],IFERROR(_xlfn.XLOOKUP(Table1[[#This Row],[delivery_days]],Table57[Original],Table57[Clean],,0,1),"Unknown"))</f>
        <v>5</v>
      </c>
    </row>
    <row r="569" spans="1:23" x14ac:dyDescent="0.3">
      <c r="B569" t="str">
        <f>IF(ISBLANK(Table1[[#This Row],[order_id]]),"",IF(LEFT(Table1[[#This Row],[order_id]],3)="ORD",Table1[[#This Row],[order_id]],"ORD-" &amp; Table1[[#This Row],[order_id]]))</f>
        <v/>
      </c>
      <c r="C569" t="s">
        <v>245</v>
      </c>
      <c r="D569" s="1">
        <f>IFERROR(DATEVALUE(Table1[[#This Row],[order_date]]),"")</f>
        <v>45535</v>
      </c>
      <c r="F569" t="str">
        <f>IF(ISBLANK(Table1[[#This Row],[customer_name]]),"Unknown Customer",PROPER(SUBSTITUTE(Table1[[#This Row],[customer_name]],"Cust.","Customer")))</f>
        <v>Unknown Customer</v>
      </c>
      <c r="G569" t="s">
        <v>26</v>
      </c>
      <c r="H569" t="str">
        <f>IFERROR(_xlfn.XLOOKUP(Table1[[#This Row],[region]],Mappings!$C$3:$C$8,Mappings!$D$3:$D$8,,0,1),"Unknown")</f>
        <v>Asia</v>
      </c>
      <c r="I569" t="s">
        <v>78</v>
      </c>
      <c r="J569" t="str">
        <f>IFERROR(_xlfn.XLOOKUP(Table1[[#This Row],[sales_channel]],Table4[Original],Table4[Clean],,0,1),"Unknown")</f>
        <v>Mobile</v>
      </c>
      <c r="K569" t="s">
        <v>33</v>
      </c>
      <c r="L569" t="str">
        <f>IFERROR(_xlfn.XLOOKUP(Table1[[#This Row],[product]],Table3[Original],Table3[Product_clean],,0,1),"Unknown")</f>
        <v>Tablet</v>
      </c>
      <c r="M569" s="6" t="s">
        <v>83</v>
      </c>
      <c r="N569">
        <f>IF(ISNUMBER(Table1[[#This Row],[quantity]]),Table1[[#This Row],[quantity]],IFERROR(VLOOKUP(Table1[[#This Row],[quantity]],Table5[#All],2,FALSE),"Unknown"))</f>
        <v>2</v>
      </c>
      <c r="O569" t="s">
        <v>1293</v>
      </c>
      <c r="P569">
        <f>IFERROR(VALUE(SUBSTITUTE(SUBSTITUTE(SUBSTITUTE(Table1[[#This Row],[revenue]],"EUR",""),"$",""),".",",")),"")</f>
        <v>1708.65</v>
      </c>
      <c r="R569" t="str">
        <f>IF(OR(Table1[[#This Row],[currency]]="EUR",Table1[[#This Row],[currency]]="€"),"EUR",IF(OR(Table1[[#This Row],[currency]]="USD",Table1[[#This Row],[currency]]="$"),"USD","Unknown"))</f>
        <v>Unknown</v>
      </c>
      <c r="T569" t="str">
        <f>IFERROR(_xlfn.XLOOKUP(Table1[[#This Row],[order_status]],Table8[Original],Table8[Clean],,0,1),"Unknown")</f>
        <v>Unknown</v>
      </c>
      <c r="U569">
        <v>3</v>
      </c>
      <c r="V569">
        <f>IF(ISNUMBER(Table1[[#This Row],[delivery_days]]),Table1[[#This Row],[delivery_days]],IFERROR(_xlfn.XLOOKUP(Table1[[#This Row],[delivery_days]],Table57[Original],Table57[Clean],,0,1),"Unknown"))</f>
        <v>3</v>
      </c>
      <c r="W569" t="s">
        <v>24</v>
      </c>
    </row>
    <row r="570" spans="1:23" x14ac:dyDescent="0.3">
      <c r="A570">
        <v>1568</v>
      </c>
      <c r="B570" t="str">
        <f>IF(ISBLANK(Table1[[#This Row],[order_id]]),"",IF(LEFT(Table1[[#This Row],[order_id]],3)="ORD",Table1[[#This Row],[order_id]],"ORD-" &amp; Table1[[#This Row],[order_id]]))</f>
        <v>ORD-1568</v>
      </c>
      <c r="C570" t="s">
        <v>335</v>
      </c>
      <c r="D570" s="1" t="str">
        <f>IFERROR(DATEVALUE(Table1[[#This Row],[order_date]]),"")</f>
        <v/>
      </c>
      <c r="E570" t="s">
        <v>1294</v>
      </c>
      <c r="F570" t="str">
        <f>IF(ISBLANK(Table1[[#This Row],[customer_name]]),"Unknown Customer",PROPER(SUBSTITUTE(Table1[[#This Row],[customer_name]],"Cust.","Customer")))</f>
        <v>Customer 568</v>
      </c>
      <c r="H570" t="str">
        <f>IFERROR(_xlfn.XLOOKUP(Table1[[#This Row],[region]],Mappings!$C$3:$C$8,Mappings!$D$3:$D$8,,0,1),"Unknown")</f>
        <v>Unknown</v>
      </c>
      <c r="J570" t="str">
        <f>IFERROR(_xlfn.XLOOKUP(Table1[[#This Row],[sales_channel]],Table4[Original],Table4[Clean],,0,1),"Unknown")</f>
        <v>Unknown</v>
      </c>
      <c r="K570" t="s">
        <v>33</v>
      </c>
      <c r="L570" t="str">
        <f>IFERROR(_xlfn.XLOOKUP(Table1[[#This Row],[product]],Table3[Original],Table3[Product_clean],,0,1),"Unknown")</f>
        <v>Tablet</v>
      </c>
      <c r="M570" s="6">
        <v>1</v>
      </c>
      <c r="N570">
        <f>IF(ISNUMBER(Table1[[#This Row],[quantity]]),Table1[[#This Row],[quantity]],IFERROR(VLOOKUP(Table1[[#This Row],[quantity]],Table5[#All],2,FALSE),"Unknown"))</f>
        <v>1</v>
      </c>
      <c r="O570">
        <v>231.2</v>
      </c>
      <c r="P570">
        <f>IFERROR(VALUE(SUBSTITUTE(SUBSTITUTE(SUBSTITUTE(Table1[[#This Row],[revenue]],"EUR",""),"$",""),".",",")),"")</f>
        <v>231.2</v>
      </c>
      <c r="Q570" t="s">
        <v>55</v>
      </c>
      <c r="R570" t="str">
        <f>IF(OR(Table1[[#This Row],[currency]]="EUR",Table1[[#This Row],[currency]]="€"),"EUR",IF(OR(Table1[[#This Row],[currency]]="USD",Table1[[#This Row],[currency]]="$"),"USD","Unknown"))</f>
        <v>EUR</v>
      </c>
      <c r="S570" t="s">
        <v>47</v>
      </c>
      <c r="T570" t="str">
        <f>IFERROR(_xlfn.XLOOKUP(Table1[[#This Row],[order_status]],Table8[Original],Table8[Clean],,0,1),"Unknown")</f>
        <v>Returned</v>
      </c>
      <c r="U570">
        <v>1</v>
      </c>
      <c r="V570">
        <f>IF(ISNUMBER(Table1[[#This Row],[delivery_days]]),Table1[[#This Row],[delivery_days]],IFERROR(_xlfn.XLOOKUP(Table1[[#This Row],[delivery_days]],Table57[Original],Table57[Clean],,0,1),"Unknown"))</f>
        <v>1</v>
      </c>
    </row>
    <row r="571" spans="1:23" x14ac:dyDescent="0.3">
      <c r="A571" t="s">
        <v>1295</v>
      </c>
      <c r="B571" t="str">
        <f>IF(ISBLANK(Table1[[#This Row],[order_id]]),"",IF(LEFT(Table1[[#This Row],[order_id]],3)="ORD",Table1[[#This Row],[order_id]],"ORD-" &amp; Table1[[#This Row],[order_id]]))</f>
        <v>ORD-1569</v>
      </c>
      <c r="C571" t="s">
        <v>1296</v>
      </c>
      <c r="D571" s="1">
        <f>IFERROR(DATEVALUE(Table1[[#This Row],[order_date]]),"")</f>
        <v>45468</v>
      </c>
      <c r="E571" t="s">
        <v>1297</v>
      </c>
      <c r="F571" t="str">
        <f>IF(ISBLANK(Table1[[#This Row],[customer_name]]),"Unknown Customer",PROPER(SUBSTITUTE(Table1[[#This Row],[customer_name]],"Cust.","Customer")))</f>
        <v>Customer 569</v>
      </c>
      <c r="G571" t="s">
        <v>54</v>
      </c>
      <c r="H571" t="str">
        <f>IFERROR(_xlfn.XLOOKUP(Table1[[#This Row],[region]],Mappings!$C$3:$C$8,Mappings!$D$3:$D$8,,0,1),"Unknown")</f>
        <v>USA</v>
      </c>
      <c r="I571" t="s">
        <v>27</v>
      </c>
      <c r="J571" t="str">
        <f>IFERROR(_xlfn.XLOOKUP(Table1[[#This Row],[sales_channel]],Table4[Original],Table4[Clean],,0,1),"Unknown")</f>
        <v>Online</v>
      </c>
      <c r="K571" t="s">
        <v>15</v>
      </c>
      <c r="L571" t="str">
        <f>IFERROR(_xlfn.XLOOKUP(Table1[[#This Row],[product]],Table3[Original],Table3[Product_clean],,0,1),"Unknown")</f>
        <v>Tablet</v>
      </c>
      <c r="M571" s="6">
        <v>3</v>
      </c>
      <c r="N571">
        <f>IF(ISNUMBER(Table1[[#This Row],[quantity]]),Table1[[#This Row],[quantity]],IFERROR(VLOOKUP(Table1[[#This Row],[quantity]],Table5[#All],2,FALSE),"Unknown"))</f>
        <v>3</v>
      </c>
      <c r="P571" t="str">
        <f>IFERROR(VALUE(SUBSTITUTE(SUBSTITUTE(SUBSTITUTE(Table1[[#This Row],[revenue]],"EUR",""),"$",""),".",",")),"")</f>
        <v/>
      </c>
      <c r="R571" t="str">
        <f>IF(OR(Table1[[#This Row],[currency]]="EUR",Table1[[#This Row],[currency]]="€"),"EUR",IF(OR(Table1[[#This Row],[currency]]="USD",Table1[[#This Row],[currency]]="$"),"USD","Unknown"))</f>
        <v>Unknown</v>
      </c>
      <c r="S571" t="s">
        <v>30</v>
      </c>
      <c r="T571" t="str">
        <f>IFERROR(_xlfn.XLOOKUP(Table1[[#This Row],[order_status]],Table8[Original],Table8[Clean],,0,1),"Unknown")</f>
        <v>Delivered</v>
      </c>
      <c r="V571" t="str">
        <f>IF(ISNUMBER(Table1[[#This Row],[delivery_days]]),Table1[[#This Row],[delivery_days]],IFERROR(_xlfn.XLOOKUP(Table1[[#This Row],[delivery_days]],Table57[Original],Table57[Clean],,0,1),"Unknown"))</f>
        <v>Unknown</v>
      </c>
    </row>
    <row r="572" spans="1:23" x14ac:dyDescent="0.3">
      <c r="A572">
        <v>1570</v>
      </c>
      <c r="B572" t="str">
        <f>IF(ISBLANK(Table1[[#This Row],[order_id]]),"",IF(LEFT(Table1[[#This Row],[order_id]],3)="ORD",Table1[[#This Row],[order_id]],"ORD-" &amp; Table1[[#This Row],[order_id]]))</f>
        <v>ORD-1570</v>
      </c>
      <c r="C572" t="s">
        <v>1298</v>
      </c>
      <c r="D572" s="1">
        <f>IFERROR(DATEVALUE(Table1[[#This Row],[order_date]]),"")</f>
        <v>45418</v>
      </c>
      <c r="E572" t="s">
        <v>1299</v>
      </c>
      <c r="F572" t="str">
        <f>IF(ISBLANK(Table1[[#This Row],[customer_name]]),"Unknown Customer",PROPER(SUBSTITUTE(Table1[[#This Row],[customer_name]],"Cust.","Customer")))</f>
        <v>Customer 570</v>
      </c>
      <c r="G572" t="s">
        <v>32</v>
      </c>
      <c r="H572" t="str">
        <f>IFERROR(_xlfn.XLOOKUP(Table1[[#This Row],[region]],Mappings!$C$3:$C$8,Mappings!$D$3:$D$8,,0,1),"Unknown")</f>
        <v>Europe</v>
      </c>
      <c r="J572" t="str">
        <f>IFERROR(_xlfn.XLOOKUP(Table1[[#This Row],[sales_channel]],Table4[Original],Table4[Clean],,0,1),"Unknown")</f>
        <v>Unknown</v>
      </c>
      <c r="L572" t="str">
        <f>IFERROR(_xlfn.XLOOKUP(Table1[[#This Row],[product]],Table3[Original],Table3[Product_clean],,0,1),"Unknown")</f>
        <v>Unknown</v>
      </c>
      <c r="M572" s="6" t="s">
        <v>83</v>
      </c>
      <c r="N572">
        <f>IF(ISNUMBER(Table1[[#This Row],[quantity]]),Table1[[#This Row],[quantity]],IFERROR(VLOOKUP(Table1[[#This Row],[quantity]],Table5[#All],2,FALSE),"Unknown"))</f>
        <v>2</v>
      </c>
      <c r="O572" t="s">
        <v>1300</v>
      </c>
      <c r="P572">
        <f>IFERROR(VALUE(SUBSTITUTE(SUBSTITUTE(SUBSTITUTE(Table1[[#This Row],[revenue]],"EUR",""),"$",""),".",",")),"")</f>
        <v>387.69</v>
      </c>
      <c r="R572" t="str">
        <f>IF(OR(Table1[[#This Row],[currency]]="EUR",Table1[[#This Row],[currency]]="€"),"EUR",IF(OR(Table1[[#This Row],[currency]]="USD",Table1[[#This Row],[currency]]="$"),"USD","Unknown"))</f>
        <v>Unknown</v>
      </c>
      <c r="S572" t="s">
        <v>18</v>
      </c>
      <c r="T572" t="str">
        <f>IFERROR(_xlfn.XLOOKUP(Table1[[#This Row],[order_status]],Table8[Original],Table8[Clean],,0,1),"Unknown")</f>
        <v>Pending</v>
      </c>
      <c r="U572">
        <v>5</v>
      </c>
      <c r="V572">
        <f>IF(ISNUMBER(Table1[[#This Row],[delivery_days]]),Table1[[#This Row],[delivery_days]],IFERROR(_xlfn.XLOOKUP(Table1[[#This Row],[delivery_days]],Table57[Original],Table57[Clean],,0,1),"Unknown"))</f>
        <v>5</v>
      </c>
      <c r="W572" t="s">
        <v>24</v>
      </c>
    </row>
    <row r="573" spans="1:23" x14ac:dyDescent="0.3">
      <c r="A573" t="s">
        <v>1301</v>
      </c>
      <c r="B573" t="str">
        <f>IF(ISBLANK(Table1[[#This Row],[order_id]]),"",IF(LEFT(Table1[[#This Row],[order_id]],3)="ORD",Table1[[#This Row],[order_id]],"ORD-" &amp; Table1[[#This Row],[order_id]]))</f>
        <v>ORD-1571</v>
      </c>
      <c r="D573" s="1" t="str">
        <f>IFERROR(DATEVALUE(Table1[[#This Row],[order_date]]),"")</f>
        <v/>
      </c>
      <c r="F573" t="str">
        <f>IF(ISBLANK(Table1[[#This Row],[customer_name]]),"Unknown Customer",PROPER(SUBSTITUTE(Table1[[#This Row],[customer_name]],"Cust.","Customer")))</f>
        <v>Unknown Customer</v>
      </c>
      <c r="G573" t="s">
        <v>26</v>
      </c>
      <c r="H573" t="str">
        <f>IFERROR(_xlfn.XLOOKUP(Table1[[#This Row],[region]],Mappings!$C$3:$C$8,Mappings!$D$3:$D$8,,0,1),"Unknown")</f>
        <v>Asia</v>
      </c>
      <c r="I573" t="s">
        <v>68</v>
      </c>
      <c r="J573" t="str">
        <f>IFERROR(_xlfn.XLOOKUP(Table1[[#This Row],[sales_channel]],Table4[Original],Table4[Clean],,0,1),"Unknown")</f>
        <v>Online</v>
      </c>
      <c r="K573" t="s">
        <v>51</v>
      </c>
      <c r="L573" t="str">
        <f>IFERROR(_xlfn.XLOOKUP(Table1[[#This Row],[product]],Table3[Original],Table3[Product_clean],,0,1),"Unknown")</f>
        <v>Laptop</v>
      </c>
      <c r="M573" s="6" t="s">
        <v>83</v>
      </c>
      <c r="N573">
        <f>IF(ISNUMBER(Table1[[#This Row],[quantity]]),Table1[[#This Row],[quantity]],IFERROR(VLOOKUP(Table1[[#This Row],[quantity]],Table5[#All],2,FALSE),"Unknown"))</f>
        <v>2</v>
      </c>
      <c r="O573">
        <v>2103.08</v>
      </c>
      <c r="P573">
        <f>IFERROR(VALUE(SUBSTITUTE(SUBSTITUTE(SUBSTITUTE(Table1[[#This Row],[revenue]],"EUR",""),"$",""),".",",")),"")</f>
        <v>2103.08</v>
      </c>
      <c r="Q573" t="s">
        <v>17</v>
      </c>
      <c r="R573" t="str">
        <f>IF(OR(Table1[[#This Row],[currency]]="EUR",Table1[[#This Row],[currency]]="€"),"EUR",IF(OR(Table1[[#This Row],[currency]]="USD",Table1[[#This Row],[currency]]="$"),"USD","Unknown"))</f>
        <v>EUR</v>
      </c>
      <c r="T573" t="str">
        <f>IFERROR(_xlfn.XLOOKUP(Table1[[#This Row],[order_status]],Table8[Original],Table8[Clean],,0,1),"Unknown")</f>
        <v>Unknown</v>
      </c>
      <c r="V573" t="str">
        <f>IF(ISNUMBER(Table1[[#This Row],[delivery_days]]),Table1[[#This Row],[delivery_days]],IFERROR(_xlfn.XLOOKUP(Table1[[#This Row],[delivery_days]],Table57[Original],Table57[Clean],,0,1),"Unknown"))</f>
        <v>Unknown</v>
      </c>
      <c r="W573" t="s">
        <v>37</v>
      </c>
    </row>
    <row r="574" spans="1:23" x14ac:dyDescent="0.3">
      <c r="A574">
        <v>1572</v>
      </c>
      <c r="B574" t="str">
        <f>IF(ISBLANK(Table1[[#This Row],[order_id]]),"",IF(LEFT(Table1[[#This Row],[order_id]],3)="ORD",Table1[[#This Row],[order_id]],"ORD-" &amp; Table1[[#This Row],[order_id]]))</f>
        <v>ORD-1572</v>
      </c>
      <c r="C574" t="s">
        <v>1302</v>
      </c>
      <c r="D574" s="1" t="str">
        <f>IFERROR(DATEVALUE(Table1[[#This Row],[order_date]]),"")</f>
        <v/>
      </c>
      <c r="E574" t="s">
        <v>1303</v>
      </c>
      <c r="F574" t="str">
        <f>IF(ISBLANK(Table1[[#This Row],[customer_name]]),"Unknown Customer",PROPER(SUBSTITUTE(Table1[[#This Row],[customer_name]],"Cust.","Customer")))</f>
        <v>Customer 572</v>
      </c>
      <c r="G574" t="s">
        <v>32</v>
      </c>
      <c r="H574" t="str">
        <f>IFERROR(_xlfn.XLOOKUP(Table1[[#This Row],[region]],Mappings!$C$3:$C$8,Mappings!$D$3:$D$8,,0,1),"Unknown")</f>
        <v>Europe</v>
      </c>
      <c r="I574" t="s">
        <v>27</v>
      </c>
      <c r="J574" t="str">
        <f>IFERROR(_xlfn.XLOOKUP(Table1[[#This Row],[sales_channel]],Table4[Original],Table4[Clean],,0,1),"Unknown")</f>
        <v>Online</v>
      </c>
      <c r="K574" t="s">
        <v>41</v>
      </c>
      <c r="L574" t="str">
        <f>IFERROR(_xlfn.XLOOKUP(Table1[[#This Row],[product]],Table3[Original],Table3[Product_clean],,0,1),"Unknown")</f>
        <v>Phone</v>
      </c>
      <c r="M574" s="6">
        <v>1</v>
      </c>
      <c r="N574">
        <f>IF(ISNUMBER(Table1[[#This Row],[quantity]]),Table1[[#This Row],[quantity]],IFERROR(VLOOKUP(Table1[[#This Row],[quantity]],Table5[#All],2,FALSE),"Unknown"))</f>
        <v>1</v>
      </c>
      <c r="O574" t="s">
        <v>1304</v>
      </c>
      <c r="P574">
        <f>IFERROR(VALUE(SUBSTITUTE(SUBSTITUTE(SUBSTITUTE(Table1[[#This Row],[revenue]],"EUR",""),"$",""),".",",")),"")</f>
        <v>1515.36</v>
      </c>
      <c r="R574" t="str">
        <f>IF(OR(Table1[[#This Row],[currency]]="EUR",Table1[[#This Row],[currency]]="€"),"EUR",IF(OR(Table1[[#This Row],[currency]]="USD",Table1[[#This Row],[currency]]="$"),"USD","Unknown"))</f>
        <v>Unknown</v>
      </c>
      <c r="S574" t="s">
        <v>23</v>
      </c>
      <c r="T574" t="str">
        <f>IFERROR(_xlfn.XLOOKUP(Table1[[#This Row],[order_status]],Table8[Original],Table8[Clean],,0,1),"Unknown")</f>
        <v>Delivered</v>
      </c>
      <c r="U574">
        <v>3</v>
      </c>
      <c r="V574">
        <f>IF(ISNUMBER(Table1[[#This Row],[delivery_days]]),Table1[[#This Row],[delivery_days]],IFERROR(_xlfn.XLOOKUP(Table1[[#This Row],[delivery_days]],Table57[Original],Table57[Clean],,0,1),"Unknown"))</f>
        <v>3</v>
      </c>
      <c r="W574" t="s">
        <v>24</v>
      </c>
    </row>
    <row r="575" spans="1:23" x14ac:dyDescent="0.3">
      <c r="A575">
        <v>1573</v>
      </c>
      <c r="B575" t="str">
        <f>IF(ISBLANK(Table1[[#This Row],[order_id]]),"",IF(LEFT(Table1[[#This Row],[order_id]],3)="ORD",Table1[[#This Row],[order_id]],"ORD-" &amp; Table1[[#This Row],[order_id]]))</f>
        <v>ORD-1573</v>
      </c>
      <c r="C575" t="s">
        <v>1305</v>
      </c>
      <c r="D575" s="1">
        <f>IFERROR(DATEVALUE(Table1[[#This Row],[order_date]]),"")</f>
        <v>45316</v>
      </c>
      <c r="E575" t="s">
        <v>1306</v>
      </c>
      <c r="F575" t="str">
        <f>IF(ISBLANK(Table1[[#This Row],[customer_name]]),"Unknown Customer",PROPER(SUBSTITUTE(Table1[[#This Row],[customer_name]],"Cust.","Customer")))</f>
        <v>Customer 573</v>
      </c>
      <c r="G575" t="s">
        <v>45</v>
      </c>
      <c r="H575" t="str">
        <f>IFERROR(_xlfn.XLOOKUP(Table1[[#This Row],[region]],Mappings!$C$3:$C$8,Mappings!$D$3:$D$8,,0,1),"Unknown")</f>
        <v>USA</v>
      </c>
      <c r="I575" t="s">
        <v>50</v>
      </c>
      <c r="J575" t="str">
        <f>IFERROR(_xlfn.XLOOKUP(Table1[[#This Row],[sales_channel]],Table4[Original],Table4[Clean],,0,1),"Unknown")</f>
        <v>Mobile</v>
      </c>
      <c r="K575" t="s">
        <v>102</v>
      </c>
      <c r="L575" t="str">
        <f>IFERROR(_xlfn.XLOOKUP(Table1[[#This Row],[product]],Table3[Original],Table3[Product_clean],,0,1),"Unknown")</f>
        <v>Phone</v>
      </c>
      <c r="M575" s="6">
        <v>1</v>
      </c>
      <c r="N575">
        <f>IF(ISNUMBER(Table1[[#This Row],[quantity]]),Table1[[#This Row],[quantity]],IFERROR(VLOOKUP(Table1[[#This Row],[quantity]],Table5[#All],2,FALSE),"Unknown"))</f>
        <v>1</v>
      </c>
      <c r="P575" t="str">
        <f>IFERROR(VALUE(SUBSTITUTE(SUBSTITUTE(SUBSTITUTE(Table1[[#This Row],[revenue]],"EUR",""),"$",""),".",",")),"")</f>
        <v/>
      </c>
      <c r="R575" t="str">
        <f>IF(OR(Table1[[#This Row],[currency]]="EUR",Table1[[#This Row],[currency]]="€"),"EUR",IF(OR(Table1[[#This Row],[currency]]="USD",Table1[[#This Row],[currency]]="$"),"USD","Unknown"))</f>
        <v>Unknown</v>
      </c>
      <c r="S575" t="s">
        <v>18</v>
      </c>
      <c r="T575" t="str">
        <f>IFERROR(_xlfn.XLOOKUP(Table1[[#This Row],[order_status]],Table8[Original],Table8[Clean],,0,1),"Unknown")</f>
        <v>Pending</v>
      </c>
      <c r="U575">
        <v>5</v>
      </c>
      <c r="V575">
        <f>IF(ISNUMBER(Table1[[#This Row],[delivery_days]]),Table1[[#This Row],[delivery_days]],IFERROR(_xlfn.XLOOKUP(Table1[[#This Row],[delivery_days]],Table57[Original],Table57[Clean],,0,1),"Unknown"))</f>
        <v>5</v>
      </c>
    </row>
    <row r="576" spans="1:23" x14ac:dyDescent="0.3">
      <c r="B576" t="str">
        <f>IF(ISBLANK(Table1[[#This Row],[order_id]]),"",IF(LEFT(Table1[[#This Row],[order_id]],3)="ORD",Table1[[#This Row],[order_id]],"ORD-" &amp; Table1[[#This Row],[order_id]]))</f>
        <v/>
      </c>
      <c r="C576" t="s">
        <v>1307</v>
      </c>
      <c r="D576" s="1" t="str">
        <f>IFERROR(DATEVALUE(Table1[[#This Row],[order_date]]),"")</f>
        <v/>
      </c>
      <c r="E576" t="s">
        <v>1308</v>
      </c>
      <c r="F576" t="str">
        <f>IF(ISBLANK(Table1[[#This Row],[customer_name]]),"Unknown Customer",PROPER(SUBSTITUTE(Table1[[#This Row],[customer_name]],"Cust.","Customer")))</f>
        <v>Customer 574</v>
      </c>
      <c r="G576" t="s">
        <v>32</v>
      </c>
      <c r="H576" t="str">
        <f>IFERROR(_xlfn.XLOOKUP(Table1[[#This Row],[region]],Mappings!$C$3:$C$8,Mappings!$D$3:$D$8,,0,1),"Unknown")</f>
        <v>Europe</v>
      </c>
      <c r="J576" t="str">
        <f>IFERROR(_xlfn.XLOOKUP(Table1[[#This Row],[sales_channel]],Table4[Original],Table4[Clean],,0,1),"Unknown")</f>
        <v>Unknown</v>
      </c>
      <c r="K576" t="s">
        <v>33</v>
      </c>
      <c r="L576" t="str">
        <f>IFERROR(_xlfn.XLOOKUP(Table1[[#This Row],[product]],Table3[Original],Table3[Product_clean],,0,1),"Unknown")</f>
        <v>Tablet</v>
      </c>
      <c r="M576" s="6">
        <v>3</v>
      </c>
      <c r="N576">
        <f>IF(ISNUMBER(Table1[[#This Row],[quantity]]),Table1[[#This Row],[quantity]],IFERROR(VLOOKUP(Table1[[#This Row],[quantity]],Table5[#All],2,FALSE),"Unknown"))</f>
        <v>3</v>
      </c>
      <c r="O576">
        <v>1074.58</v>
      </c>
      <c r="P576">
        <f>IFERROR(VALUE(SUBSTITUTE(SUBSTITUTE(SUBSTITUTE(Table1[[#This Row],[revenue]],"EUR",""),"$",""),".",",")),"")</f>
        <v>1074.58</v>
      </c>
      <c r="Q576" t="s">
        <v>58</v>
      </c>
      <c r="R576" t="str">
        <f>IF(OR(Table1[[#This Row],[currency]]="EUR",Table1[[#This Row],[currency]]="€"),"EUR",IF(OR(Table1[[#This Row],[currency]]="USD",Table1[[#This Row],[currency]]="$"),"USD","Unknown"))</f>
        <v>USD</v>
      </c>
      <c r="S576" t="s">
        <v>47</v>
      </c>
      <c r="T576" t="str">
        <f>IFERROR(_xlfn.XLOOKUP(Table1[[#This Row],[order_status]],Table8[Original],Table8[Clean],,0,1),"Unknown")</f>
        <v>Returned</v>
      </c>
      <c r="U576">
        <v>5</v>
      </c>
      <c r="V576">
        <f>IF(ISNUMBER(Table1[[#This Row],[delivery_days]]),Table1[[#This Row],[delivery_days]],IFERROR(_xlfn.XLOOKUP(Table1[[#This Row],[delivery_days]],Table57[Original],Table57[Clean],,0,1),"Unknown"))</f>
        <v>5</v>
      </c>
      <c r="W576" t="s">
        <v>24</v>
      </c>
    </row>
    <row r="577" spans="1:23" x14ac:dyDescent="0.3">
      <c r="A577">
        <v>1575</v>
      </c>
      <c r="B577" t="str">
        <f>IF(ISBLANK(Table1[[#This Row],[order_id]]),"",IF(LEFT(Table1[[#This Row],[order_id]],3)="ORD",Table1[[#This Row],[order_id]],"ORD-" &amp; Table1[[#This Row],[order_id]]))</f>
        <v>ORD-1575</v>
      </c>
      <c r="C577" t="s">
        <v>1309</v>
      </c>
      <c r="D577" s="1">
        <f>IFERROR(DATEVALUE(Table1[[#This Row],[order_date]]),"")</f>
        <v>45611</v>
      </c>
      <c r="F577" t="str">
        <f>IF(ISBLANK(Table1[[#This Row],[customer_name]]),"Unknown Customer",PROPER(SUBSTITUTE(Table1[[#This Row],[customer_name]],"Cust.","Customer")))</f>
        <v>Unknown Customer</v>
      </c>
      <c r="G577" t="s">
        <v>54</v>
      </c>
      <c r="H577" t="str">
        <f>IFERROR(_xlfn.XLOOKUP(Table1[[#This Row],[region]],Mappings!$C$3:$C$8,Mappings!$D$3:$D$8,,0,1),"Unknown")</f>
        <v>USA</v>
      </c>
      <c r="J577" t="str">
        <f>IFERROR(_xlfn.XLOOKUP(Table1[[#This Row],[sales_channel]],Table4[Original],Table4[Clean],,0,1),"Unknown")</f>
        <v>Unknown</v>
      </c>
      <c r="L577" t="str">
        <f>IFERROR(_xlfn.XLOOKUP(Table1[[#This Row],[product]],Table3[Original],Table3[Product_clean],,0,1),"Unknown")</f>
        <v>Unknown</v>
      </c>
      <c r="M577" s="6" t="s">
        <v>83</v>
      </c>
      <c r="N577">
        <f>IF(ISNUMBER(Table1[[#This Row],[quantity]]),Table1[[#This Row],[quantity]],IFERROR(VLOOKUP(Table1[[#This Row],[quantity]],Table5[#All],2,FALSE),"Unknown"))</f>
        <v>2</v>
      </c>
      <c r="O577" t="s">
        <v>1310</v>
      </c>
      <c r="P577">
        <f>IFERROR(VALUE(SUBSTITUTE(SUBSTITUTE(SUBSTITUTE(Table1[[#This Row],[revenue]],"EUR",""),"$",""),".",",")),"")</f>
        <v>1570.34</v>
      </c>
      <c r="Q577" t="s">
        <v>55</v>
      </c>
      <c r="R577" t="str">
        <f>IF(OR(Table1[[#This Row],[currency]]="EUR",Table1[[#This Row],[currency]]="€"),"EUR",IF(OR(Table1[[#This Row],[currency]]="USD",Table1[[#This Row],[currency]]="$"),"USD","Unknown"))</f>
        <v>EUR</v>
      </c>
      <c r="T577" t="str">
        <f>IFERROR(_xlfn.XLOOKUP(Table1[[#This Row],[order_status]],Table8[Original],Table8[Clean],,0,1),"Unknown")</f>
        <v>Unknown</v>
      </c>
      <c r="U577" t="s">
        <v>36</v>
      </c>
      <c r="V577">
        <f>IF(ISNUMBER(Table1[[#This Row],[delivery_days]]),Table1[[#This Row],[delivery_days]],IFERROR(_xlfn.XLOOKUP(Table1[[#This Row],[delivery_days]],Table57[Original],Table57[Clean],,0,1),"Unknown"))</f>
        <v>5</v>
      </c>
    </row>
    <row r="578" spans="1:23" x14ac:dyDescent="0.3">
      <c r="B578" t="str">
        <f>IF(ISBLANK(Table1[[#This Row],[order_id]]),"",IF(LEFT(Table1[[#This Row],[order_id]],3)="ORD",Table1[[#This Row],[order_id]],"ORD-" &amp; Table1[[#This Row],[order_id]]))</f>
        <v/>
      </c>
      <c r="C578" t="s">
        <v>1311</v>
      </c>
      <c r="D578" s="1">
        <f>IFERROR(DATEVALUE(Table1[[#This Row],[order_date]]),"")</f>
        <v>45581</v>
      </c>
      <c r="E578" t="s">
        <v>1312</v>
      </c>
      <c r="F578" t="str">
        <f>IF(ISBLANK(Table1[[#This Row],[customer_name]]),"Unknown Customer",PROPER(SUBSTITUTE(Table1[[#This Row],[customer_name]],"Cust.","Customer")))</f>
        <v>Customer 576</v>
      </c>
      <c r="G578" t="s">
        <v>32</v>
      </c>
      <c r="H578" t="str">
        <f>IFERROR(_xlfn.XLOOKUP(Table1[[#This Row],[region]],Mappings!$C$3:$C$8,Mappings!$D$3:$D$8,,0,1),"Unknown")</f>
        <v>Europe</v>
      </c>
      <c r="I578" t="s">
        <v>27</v>
      </c>
      <c r="J578" t="str">
        <f>IFERROR(_xlfn.XLOOKUP(Table1[[#This Row],[sales_channel]],Table4[Original],Table4[Clean],,0,1),"Unknown")</f>
        <v>Online</v>
      </c>
      <c r="K578" t="s">
        <v>28</v>
      </c>
      <c r="L578" t="str">
        <f>IFERROR(_xlfn.XLOOKUP(Table1[[#This Row],[product]],Table3[Original],Table3[Product_clean],,0,1),"Unknown")</f>
        <v>Laptop</v>
      </c>
      <c r="M578" s="6">
        <v>2</v>
      </c>
      <c r="N578">
        <f>IF(ISNUMBER(Table1[[#This Row],[quantity]]),Table1[[#This Row],[quantity]],IFERROR(VLOOKUP(Table1[[#This Row],[quantity]],Table5[#All],2,FALSE),"Unknown"))</f>
        <v>2</v>
      </c>
      <c r="O578">
        <v>2193.5100000000002</v>
      </c>
      <c r="P578">
        <f>IFERROR(VALUE(SUBSTITUTE(SUBSTITUTE(SUBSTITUTE(Table1[[#This Row],[revenue]],"EUR",""),"$",""),".",",")),"")</f>
        <v>2193.5100000000002</v>
      </c>
      <c r="Q578" t="s">
        <v>55</v>
      </c>
      <c r="R578" t="str">
        <f>IF(OR(Table1[[#This Row],[currency]]="EUR",Table1[[#This Row],[currency]]="€"),"EUR",IF(OR(Table1[[#This Row],[currency]]="USD",Table1[[#This Row],[currency]]="$"),"USD","Unknown"))</f>
        <v>EUR</v>
      </c>
      <c r="S578" t="s">
        <v>47</v>
      </c>
      <c r="T578" t="str">
        <f>IFERROR(_xlfn.XLOOKUP(Table1[[#This Row],[order_status]],Table8[Original],Table8[Clean],,0,1),"Unknown")</f>
        <v>Returned</v>
      </c>
      <c r="U578">
        <v>5</v>
      </c>
      <c r="V578">
        <f>IF(ISNUMBER(Table1[[#This Row],[delivery_days]]),Table1[[#This Row],[delivery_days]],IFERROR(_xlfn.XLOOKUP(Table1[[#This Row],[delivery_days]],Table57[Original],Table57[Clean],,0,1),"Unknown"))</f>
        <v>5</v>
      </c>
      <c r="W578" t="s">
        <v>24</v>
      </c>
    </row>
    <row r="579" spans="1:23" x14ac:dyDescent="0.3">
      <c r="A579" t="s">
        <v>1313</v>
      </c>
      <c r="B579" t="str">
        <f>IF(ISBLANK(Table1[[#This Row],[order_id]]),"",IF(LEFT(Table1[[#This Row],[order_id]],3)="ORD",Table1[[#This Row],[order_id]],"ORD-" &amp; Table1[[#This Row],[order_id]]))</f>
        <v>ORD-1577</v>
      </c>
      <c r="C579" t="s">
        <v>1314</v>
      </c>
      <c r="D579" s="1">
        <f>IFERROR(DATEVALUE(Table1[[#This Row],[order_date]]),"")</f>
        <v>45324</v>
      </c>
      <c r="E579" t="s">
        <v>1315</v>
      </c>
      <c r="F579" t="str">
        <f>IF(ISBLANK(Table1[[#This Row],[customer_name]]),"Unknown Customer",PROPER(SUBSTITUTE(Table1[[#This Row],[customer_name]],"Cust.","Customer")))</f>
        <v>Customer 577</v>
      </c>
      <c r="G579" t="s">
        <v>26</v>
      </c>
      <c r="H579" t="str">
        <f>IFERROR(_xlfn.XLOOKUP(Table1[[#This Row],[region]],Mappings!$C$3:$C$8,Mappings!$D$3:$D$8,,0,1),"Unknown")</f>
        <v>Asia</v>
      </c>
      <c r="J579" t="str">
        <f>IFERROR(_xlfn.XLOOKUP(Table1[[#This Row],[sales_channel]],Table4[Original],Table4[Clean],,0,1),"Unknown")</f>
        <v>Unknown</v>
      </c>
      <c r="K579" t="s">
        <v>33</v>
      </c>
      <c r="L579" t="str">
        <f>IFERROR(_xlfn.XLOOKUP(Table1[[#This Row],[product]],Table3[Original],Table3[Product_clean],,0,1),"Unknown")</f>
        <v>Tablet</v>
      </c>
      <c r="M579" s="6">
        <v>2</v>
      </c>
      <c r="N579">
        <f>IF(ISNUMBER(Table1[[#This Row],[quantity]]),Table1[[#This Row],[quantity]],IFERROR(VLOOKUP(Table1[[#This Row],[quantity]],Table5[#All],2,FALSE),"Unknown"))</f>
        <v>2</v>
      </c>
      <c r="P579" t="str">
        <f>IFERROR(VALUE(SUBSTITUTE(SUBSTITUTE(SUBSTITUTE(Table1[[#This Row],[revenue]],"EUR",""),"$",""),".",",")),"")</f>
        <v/>
      </c>
      <c r="Q579" t="s">
        <v>22</v>
      </c>
      <c r="R579" t="str">
        <f>IF(OR(Table1[[#This Row],[currency]]="EUR",Table1[[#This Row],[currency]]="€"),"EUR",IF(OR(Table1[[#This Row],[currency]]="USD",Table1[[#This Row],[currency]]="$"),"USD","Unknown"))</f>
        <v>USD</v>
      </c>
      <c r="S579" t="s">
        <v>23</v>
      </c>
      <c r="T579" t="str">
        <f>IFERROR(_xlfn.XLOOKUP(Table1[[#This Row],[order_status]],Table8[Original],Table8[Clean],,0,1),"Unknown")</f>
        <v>Delivered</v>
      </c>
      <c r="U579">
        <v>1</v>
      </c>
      <c r="V579">
        <f>IF(ISNUMBER(Table1[[#This Row],[delivery_days]]),Table1[[#This Row],[delivery_days]],IFERROR(_xlfn.XLOOKUP(Table1[[#This Row],[delivery_days]],Table57[Original],Table57[Clean],,0,1),"Unknown"))</f>
        <v>1</v>
      </c>
      <c r="W579" t="s">
        <v>37</v>
      </c>
    </row>
    <row r="580" spans="1:23" x14ac:dyDescent="0.3">
      <c r="A580" t="s">
        <v>1316</v>
      </c>
      <c r="B580" t="str">
        <f>IF(ISBLANK(Table1[[#This Row],[order_id]]),"",IF(LEFT(Table1[[#This Row],[order_id]],3)="ORD",Table1[[#This Row],[order_id]],"ORD-" &amp; Table1[[#This Row],[order_id]]))</f>
        <v>ORD-1578</v>
      </c>
      <c r="D580" s="1" t="str">
        <f>IFERROR(DATEVALUE(Table1[[#This Row],[order_date]]),"")</f>
        <v/>
      </c>
      <c r="F580" t="str">
        <f>IF(ISBLANK(Table1[[#This Row],[customer_name]]),"Unknown Customer",PROPER(SUBSTITUTE(Table1[[#This Row],[customer_name]],"Cust.","Customer")))</f>
        <v>Unknown Customer</v>
      </c>
      <c r="G580" t="s">
        <v>32</v>
      </c>
      <c r="H580" t="str">
        <f>IFERROR(_xlfn.XLOOKUP(Table1[[#This Row],[region]],Mappings!$C$3:$C$8,Mappings!$D$3:$D$8,,0,1),"Unknown")</f>
        <v>Europe</v>
      </c>
      <c r="J580" t="str">
        <f>IFERROR(_xlfn.XLOOKUP(Table1[[#This Row],[sales_channel]],Table4[Original],Table4[Clean],,0,1),"Unknown")</f>
        <v>Unknown</v>
      </c>
      <c r="K580" t="s">
        <v>51</v>
      </c>
      <c r="L580" t="str">
        <f>IFERROR(_xlfn.XLOOKUP(Table1[[#This Row],[product]],Table3[Original],Table3[Product_clean],,0,1),"Unknown")</f>
        <v>Laptop</v>
      </c>
      <c r="M580" s="6">
        <v>2</v>
      </c>
      <c r="N580">
        <f>IF(ISNUMBER(Table1[[#This Row],[quantity]]),Table1[[#This Row],[quantity]],IFERROR(VLOOKUP(Table1[[#This Row],[quantity]],Table5[#All],2,FALSE),"Unknown"))</f>
        <v>2</v>
      </c>
      <c r="O580" t="s">
        <v>1317</v>
      </c>
      <c r="P580">
        <f>IFERROR(VALUE(SUBSTITUTE(SUBSTITUTE(SUBSTITUTE(Table1[[#This Row],[revenue]],"EUR",""),"$",""),".",",")),"")</f>
        <v>131.72999999999999</v>
      </c>
      <c r="Q580" t="s">
        <v>58</v>
      </c>
      <c r="R580" t="str">
        <f>IF(OR(Table1[[#This Row],[currency]]="EUR",Table1[[#This Row],[currency]]="€"),"EUR",IF(OR(Table1[[#This Row],[currency]]="USD",Table1[[#This Row],[currency]]="$"),"USD","Unknown"))</f>
        <v>USD</v>
      </c>
      <c r="S580" t="s">
        <v>35</v>
      </c>
      <c r="T580" t="str">
        <f>IFERROR(_xlfn.XLOOKUP(Table1[[#This Row],[order_status]],Table8[Original],Table8[Clean],,0,1),"Unknown")</f>
        <v>Returned</v>
      </c>
      <c r="U580">
        <v>2</v>
      </c>
      <c r="V580">
        <f>IF(ISNUMBER(Table1[[#This Row],[delivery_days]]),Table1[[#This Row],[delivery_days]],IFERROR(_xlfn.XLOOKUP(Table1[[#This Row],[delivery_days]],Table57[Original],Table57[Clean],,0,1),"Unknown"))</f>
        <v>2</v>
      </c>
    </row>
    <row r="581" spans="1:23" x14ac:dyDescent="0.3">
      <c r="B581" t="str">
        <f>IF(ISBLANK(Table1[[#This Row],[order_id]]),"",IF(LEFT(Table1[[#This Row],[order_id]],3)="ORD",Table1[[#This Row],[order_id]],"ORD-" &amp; Table1[[#This Row],[order_id]]))</f>
        <v/>
      </c>
      <c r="C581" t="s">
        <v>1318</v>
      </c>
      <c r="D581" s="1">
        <f>IFERROR(DATEVALUE(Table1[[#This Row],[order_date]]),"")</f>
        <v>45424</v>
      </c>
      <c r="E581" t="s">
        <v>1319</v>
      </c>
      <c r="F581" t="str">
        <f>IF(ISBLANK(Table1[[#This Row],[customer_name]]),"Unknown Customer",PROPER(SUBSTITUTE(Table1[[#This Row],[customer_name]],"Cust.","Customer")))</f>
        <v>Customer 579</v>
      </c>
      <c r="H581" t="str">
        <f>IFERROR(_xlfn.XLOOKUP(Table1[[#This Row],[region]],Mappings!$C$3:$C$8,Mappings!$D$3:$D$8,,0,1),"Unknown")</f>
        <v>Unknown</v>
      </c>
      <c r="I581" t="s">
        <v>78</v>
      </c>
      <c r="J581" t="str">
        <f>IFERROR(_xlfn.XLOOKUP(Table1[[#This Row],[sales_channel]],Table4[Original],Table4[Clean],,0,1),"Unknown")</f>
        <v>Mobile</v>
      </c>
      <c r="L581" t="str">
        <f>IFERROR(_xlfn.XLOOKUP(Table1[[#This Row],[product]],Table3[Original],Table3[Product_clean],,0,1),"Unknown")</f>
        <v>Unknown</v>
      </c>
      <c r="M581" s="6">
        <v>1</v>
      </c>
      <c r="N581">
        <f>IF(ISNUMBER(Table1[[#This Row],[quantity]]),Table1[[#This Row],[quantity]],IFERROR(VLOOKUP(Table1[[#This Row],[quantity]],Table5[#All],2,FALSE),"Unknown"))</f>
        <v>1</v>
      </c>
      <c r="O581" t="s">
        <v>1320</v>
      </c>
      <c r="P581">
        <f>IFERROR(VALUE(SUBSTITUTE(SUBSTITUTE(SUBSTITUTE(Table1[[#This Row],[revenue]],"EUR",""),"$",""),".",",")),"")</f>
        <v>2379.5300000000002</v>
      </c>
      <c r="Q581" t="s">
        <v>17</v>
      </c>
      <c r="R581" t="str">
        <f>IF(OR(Table1[[#This Row],[currency]]="EUR",Table1[[#This Row],[currency]]="€"),"EUR",IF(OR(Table1[[#This Row],[currency]]="USD",Table1[[#This Row],[currency]]="$"),"USD","Unknown"))</f>
        <v>EUR</v>
      </c>
      <c r="S581" t="s">
        <v>30</v>
      </c>
      <c r="T581" t="str">
        <f>IFERROR(_xlfn.XLOOKUP(Table1[[#This Row],[order_status]],Table8[Original],Table8[Clean],,0,1),"Unknown")</f>
        <v>Delivered</v>
      </c>
      <c r="U581">
        <v>3</v>
      </c>
      <c r="V581">
        <f>IF(ISNUMBER(Table1[[#This Row],[delivery_days]]),Table1[[#This Row],[delivery_days]],IFERROR(_xlfn.XLOOKUP(Table1[[#This Row],[delivery_days]],Table57[Original],Table57[Clean],,0,1),"Unknown"))</f>
        <v>3</v>
      </c>
      <c r="W581" t="s">
        <v>24</v>
      </c>
    </row>
    <row r="582" spans="1:23" x14ac:dyDescent="0.3">
      <c r="A582" t="s">
        <v>1321</v>
      </c>
      <c r="B582" t="str">
        <f>IF(ISBLANK(Table1[[#This Row],[order_id]]),"",IF(LEFT(Table1[[#This Row],[order_id]],3)="ORD",Table1[[#This Row],[order_id]],"ORD-" &amp; Table1[[#This Row],[order_id]]))</f>
        <v>ORD-1580</v>
      </c>
      <c r="C582" t="s">
        <v>318</v>
      </c>
      <c r="D582" s="1">
        <f>IFERROR(DATEVALUE(Table1[[#This Row],[order_date]]),"")</f>
        <v>45324</v>
      </c>
      <c r="F582" t="str">
        <f>IF(ISBLANK(Table1[[#This Row],[customer_name]]),"Unknown Customer",PROPER(SUBSTITUTE(Table1[[#This Row],[customer_name]],"Cust.","Customer")))</f>
        <v>Unknown Customer</v>
      </c>
      <c r="H582" t="str">
        <f>IFERROR(_xlfn.XLOOKUP(Table1[[#This Row],[region]],Mappings!$C$3:$C$8,Mappings!$D$3:$D$8,,0,1),"Unknown")</f>
        <v>Unknown</v>
      </c>
      <c r="J582" t="str">
        <f>IFERROR(_xlfn.XLOOKUP(Table1[[#This Row],[sales_channel]],Table4[Original],Table4[Clean],,0,1),"Unknown")</f>
        <v>Unknown</v>
      </c>
      <c r="L582" t="str">
        <f>IFERROR(_xlfn.XLOOKUP(Table1[[#This Row],[product]],Table3[Original],Table3[Product_clean],,0,1),"Unknown")</f>
        <v>Unknown</v>
      </c>
      <c r="M582" s="6">
        <v>2</v>
      </c>
      <c r="N582">
        <f>IF(ISNUMBER(Table1[[#This Row],[quantity]]),Table1[[#This Row],[quantity]],IFERROR(VLOOKUP(Table1[[#This Row],[quantity]],Table5[#All],2,FALSE),"Unknown"))</f>
        <v>2</v>
      </c>
      <c r="P582" t="str">
        <f>IFERROR(VALUE(SUBSTITUTE(SUBSTITUTE(SUBSTITUTE(Table1[[#This Row],[revenue]],"EUR",""),"$",""),".",",")),"")</f>
        <v/>
      </c>
      <c r="Q582" t="s">
        <v>58</v>
      </c>
      <c r="R582" t="str">
        <f>IF(OR(Table1[[#This Row],[currency]]="EUR",Table1[[#This Row],[currency]]="€"),"EUR",IF(OR(Table1[[#This Row],[currency]]="USD",Table1[[#This Row],[currency]]="$"),"USD","Unknown"))</f>
        <v>USD</v>
      </c>
      <c r="S582" t="s">
        <v>30</v>
      </c>
      <c r="T582" t="str">
        <f>IFERROR(_xlfn.XLOOKUP(Table1[[#This Row],[order_status]],Table8[Original],Table8[Clean],,0,1),"Unknown")</f>
        <v>Delivered</v>
      </c>
      <c r="U582" t="s">
        <v>36</v>
      </c>
      <c r="V582">
        <f>IF(ISNUMBER(Table1[[#This Row],[delivery_days]]),Table1[[#This Row],[delivery_days]],IFERROR(_xlfn.XLOOKUP(Table1[[#This Row],[delivery_days]],Table57[Original],Table57[Clean],,0,1),"Unknown"))</f>
        <v>5</v>
      </c>
    </row>
    <row r="583" spans="1:23" x14ac:dyDescent="0.3">
      <c r="A583" t="s">
        <v>1322</v>
      </c>
      <c r="B583" t="str">
        <f>IF(ISBLANK(Table1[[#This Row],[order_id]]),"",IF(LEFT(Table1[[#This Row],[order_id]],3)="ORD",Table1[[#This Row],[order_id]],"ORD-" &amp; Table1[[#This Row],[order_id]]))</f>
        <v>ORD-1581</v>
      </c>
      <c r="C583" t="s">
        <v>1171</v>
      </c>
      <c r="D583" s="1">
        <f>IFERROR(DATEVALUE(Table1[[#This Row],[order_date]]),"")</f>
        <v>45559</v>
      </c>
      <c r="E583" t="s">
        <v>1323</v>
      </c>
      <c r="F583" t="str">
        <f>IF(ISBLANK(Table1[[#This Row],[customer_name]]),"Unknown Customer",PROPER(SUBSTITUTE(Table1[[#This Row],[customer_name]],"Cust.","Customer")))</f>
        <v>Customer 581</v>
      </c>
      <c r="G583" t="s">
        <v>45</v>
      </c>
      <c r="H583" t="str">
        <f>IFERROR(_xlfn.XLOOKUP(Table1[[#This Row],[region]],Mappings!$C$3:$C$8,Mappings!$D$3:$D$8,,0,1),"Unknown")</f>
        <v>USA</v>
      </c>
      <c r="I583" t="s">
        <v>14</v>
      </c>
      <c r="J583" t="str">
        <f>IFERROR(_xlfn.XLOOKUP(Table1[[#This Row],[sales_channel]],Table4[Original],Table4[Clean],,0,1),"Unknown")</f>
        <v>Online</v>
      </c>
      <c r="L583" t="str">
        <f>IFERROR(_xlfn.XLOOKUP(Table1[[#This Row],[product]],Table3[Original],Table3[Product_clean],,0,1),"Unknown")</f>
        <v>Unknown</v>
      </c>
      <c r="M583" s="6">
        <v>3</v>
      </c>
      <c r="N583">
        <f>IF(ISNUMBER(Table1[[#This Row],[quantity]]),Table1[[#This Row],[quantity]],IFERROR(VLOOKUP(Table1[[#This Row],[quantity]],Table5[#All],2,FALSE),"Unknown"))</f>
        <v>3</v>
      </c>
      <c r="O583" t="s">
        <v>1324</v>
      </c>
      <c r="P583">
        <f>IFERROR(VALUE(SUBSTITUTE(SUBSTITUTE(SUBSTITUTE(Table1[[#This Row],[revenue]],"EUR",""),"$",""),".",",")),"")</f>
        <v>2009.44</v>
      </c>
      <c r="Q583" t="s">
        <v>55</v>
      </c>
      <c r="R583" t="str">
        <f>IF(OR(Table1[[#This Row],[currency]]="EUR",Table1[[#This Row],[currency]]="€"),"EUR",IF(OR(Table1[[#This Row],[currency]]="USD",Table1[[#This Row],[currency]]="$"),"USD","Unknown"))</f>
        <v>EUR</v>
      </c>
      <c r="S583" t="s">
        <v>18</v>
      </c>
      <c r="T583" t="str">
        <f>IFERROR(_xlfn.XLOOKUP(Table1[[#This Row],[order_status]],Table8[Original],Table8[Clean],,0,1),"Unknown")</f>
        <v>Pending</v>
      </c>
      <c r="V583" t="str">
        <f>IF(ISNUMBER(Table1[[#This Row],[delivery_days]]),Table1[[#This Row],[delivery_days]],IFERROR(_xlfn.XLOOKUP(Table1[[#This Row],[delivery_days]],Table57[Original],Table57[Clean],,0,1),"Unknown"))</f>
        <v>Unknown</v>
      </c>
    </row>
    <row r="584" spans="1:23" x14ac:dyDescent="0.3">
      <c r="A584" t="s">
        <v>1325</v>
      </c>
      <c r="B584" t="str">
        <f>IF(ISBLANK(Table1[[#This Row],[order_id]]),"",IF(LEFT(Table1[[#This Row],[order_id]],3)="ORD",Table1[[#This Row],[order_id]],"ORD-" &amp; Table1[[#This Row],[order_id]]))</f>
        <v>ORD-1582</v>
      </c>
      <c r="C584" t="s">
        <v>1326</v>
      </c>
      <c r="D584" s="1">
        <f>IFERROR(DATEVALUE(Table1[[#This Row],[order_date]]),"")</f>
        <v>45704</v>
      </c>
      <c r="E584" t="s">
        <v>1327</v>
      </c>
      <c r="F584" t="str">
        <f>IF(ISBLANK(Table1[[#This Row],[customer_name]]),"Unknown Customer",PROPER(SUBSTITUTE(Table1[[#This Row],[customer_name]],"Cust.","Customer")))</f>
        <v>Customer 582</v>
      </c>
      <c r="G584" t="s">
        <v>73</v>
      </c>
      <c r="H584" t="str">
        <f>IFERROR(_xlfn.XLOOKUP(Table1[[#This Row],[region]],Mappings!$C$3:$C$8,Mappings!$D$3:$D$8,,0,1),"Unknown")</f>
        <v>Europe</v>
      </c>
      <c r="I584" t="s">
        <v>27</v>
      </c>
      <c r="J584" t="str">
        <f>IFERROR(_xlfn.XLOOKUP(Table1[[#This Row],[sales_channel]],Table4[Original],Table4[Clean],,0,1),"Unknown")</f>
        <v>Online</v>
      </c>
      <c r="K584" t="s">
        <v>28</v>
      </c>
      <c r="L584" t="str">
        <f>IFERROR(_xlfn.XLOOKUP(Table1[[#This Row],[product]],Table3[Original],Table3[Product_clean],,0,1),"Unknown")</f>
        <v>Laptop</v>
      </c>
      <c r="M584" s="6">
        <v>3</v>
      </c>
      <c r="N584">
        <f>IF(ISNUMBER(Table1[[#This Row],[quantity]]),Table1[[#This Row],[quantity]],IFERROR(VLOOKUP(Table1[[#This Row],[quantity]],Table5[#All],2,FALSE),"Unknown"))</f>
        <v>3</v>
      </c>
      <c r="O584" t="s">
        <v>1328</v>
      </c>
      <c r="P584">
        <f>IFERROR(VALUE(SUBSTITUTE(SUBSTITUTE(SUBSTITUTE(Table1[[#This Row],[revenue]],"EUR",""),"$",""),".",",")),"")</f>
        <v>2257.6999999999998</v>
      </c>
      <c r="Q584" t="s">
        <v>22</v>
      </c>
      <c r="R584" t="str">
        <f>IF(OR(Table1[[#This Row],[currency]]="EUR",Table1[[#This Row],[currency]]="€"),"EUR",IF(OR(Table1[[#This Row],[currency]]="USD",Table1[[#This Row],[currency]]="$"),"USD","Unknown"))</f>
        <v>USD</v>
      </c>
      <c r="S584" t="s">
        <v>47</v>
      </c>
      <c r="T584" t="str">
        <f>IFERROR(_xlfn.XLOOKUP(Table1[[#This Row],[order_status]],Table8[Original],Table8[Clean],,0,1),"Unknown")</f>
        <v>Returned</v>
      </c>
      <c r="U584">
        <v>3</v>
      </c>
      <c r="V584">
        <f>IF(ISNUMBER(Table1[[#This Row],[delivery_days]]),Table1[[#This Row],[delivery_days]],IFERROR(_xlfn.XLOOKUP(Table1[[#This Row],[delivery_days]],Table57[Original],Table57[Clean],,0,1),"Unknown"))</f>
        <v>3</v>
      </c>
    </row>
    <row r="585" spans="1:23" x14ac:dyDescent="0.3">
      <c r="A585" t="s">
        <v>1329</v>
      </c>
      <c r="B585" t="str">
        <f>IF(ISBLANK(Table1[[#This Row],[order_id]]),"",IF(LEFT(Table1[[#This Row],[order_id]],3)="ORD",Table1[[#This Row],[order_id]],"ORD-" &amp; Table1[[#This Row],[order_id]]))</f>
        <v>ORD-1583</v>
      </c>
      <c r="D585" s="1" t="str">
        <f>IFERROR(DATEVALUE(Table1[[#This Row],[order_date]]),"")</f>
        <v/>
      </c>
      <c r="F585" t="str">
        <f>IF(ISBLANK(Table1[[#This Row],[customer_name]]),"Unknown Customer",PROPER(SUBSTITUTE(Table1[[#This Row],[customer_name]],"Cust.","Customer")))</f>
        <v>Unknown Customer</v>
      </c>
      <c r="H585" t="str">
        <f>IFERROR(_xlfn.XLOOKUP(Table1[[#This Row],[region]],Mappings!$C$3:$C$8,Mappings!$D$3:$D$8,,0,1),"Unknown")</f>
        <v>Unknown</v>
      </c>
      <c r="I585" t="s">
        <v>27</v>
      </c>
      <c r="J585" t="str">
        <f>IFERROR(_xlfn.XLOOKUP(Table1[[#This Row],[sales_channel]],Table4[Original],Table4[Clean],,0,1),"Unknown")</f>
        <v>Online</v>
      </c>
      <c r="K585" t="s">
        <v>102</v>
      </c>
      <c r="L585" t="str">
        <f>IFERROR(_xlfn.XLOOKUP(Table1[[#This Row],[product]],Table3[Original],Table3[Product_clean],,0,1),"Unknown")</f>
        <v>Phone</v>
      </c>
      <c r="M585" s="6">
        <v>2</v>
      </c>
      <c r="N585">
        <f>IF(ISNUMBER(Table1[[#This Row],[quantity]]),Table1[[#This Row],[quantity]],IFERROR(VLOOKUP(Table1[[#This Row],[quantity]],Table5[#All],2,FALSE),"Unknown"))</f>
        <v>2</v>
      </c>
      <c r="O585">
        <v>1623.74</v>
      </c>
      <c r="P585">
        <f>IFERROR(VALUE(SUBSTITUTE(SUBSTITUTE(SUBSTITUTE(Table1[[#This Row],[revenue]],"EUR",""),"$",""),".",",")),"")</f>
        <v>1623.74</v>
      </c>
      <c r="Q585" t="s">
        <v>55</v>
      </c>
      <c r="R585" t="str">
        <f>IF(OR(Table1[[#This Row],[currency]]="EUR",Table1[[#This Row],[currency]]="€"),"EUR",IF(OR(Table1[[#This Row],[currency]]="USD",Table1[[#This Row],[currency]]="$"),"USD","Unknown"))</f>
        <v>EUR</v>
      </c>
      <c r="S585" t="s">
        <v>47</v>
      </c>
      <c r="T585" t="str">
        <f>IFERROR(_xlfn.XLOOKUP(Table1[[#This Row],[order_status]],Table8[Original],Table8[Clean],,0,1),"Unknown")</f>
        <v>Returned</v>
      </c>
      <c r="V585" t="str">
        <f>IF(ISNUMBER(Table1[[#This Row],[delivery_days]]),Table1[[#This Row],[delivery_days]],IFERROR(_xlfn.XLOOKUP(Table1[[#This Row],[delivery_days]],Table57[Original],Table57[Clean],,0,1),"Unknown"))</f>
        <v>Unknown</v>
      </c>
      <c r="W585" t="s">
        <v>24</v>
      </c>
    </row>
    <row r="586" spans="1:23" x14ac:dyDescent="0.3">
      <c r="B586" t="str">
        <f>IF(ISBLANK(Table1[[#This Row],[order_id]]),"",IF(LEFT(Table1[[#This Row],[order_id]],3)="ORD",Table1[[#This Row],[order_id]],"ORD-" &amp; Table1[[#This Row],[order_id]]))</f>
        <v/>
      </c>
      <c r="C586" t="s">
        <v>1330</v>
      </c>
      <c r="D586" s="1">
        <f>IFERROR(DATEVALUE(Table1[[#This Row],[order_date]]),"")</f>
        <v>45712</v>
      </c>
      <c r="E586" t="s">
        <v>1331</v>
      </c>
      <c r="F586" t="str">
        <f>IF(ISBLANK(Table1[[#This Row],[customer_name]]),"Unknown Customer",PROPER(SUBSTITUTE(Table1[[#This Row],[customer_name]],"Cust.","Customer")))</f>
        <v>Customer 584</v>
      </c>
      <c r="G586" t="s">
        <v>26</v>
      </c>
      <c r="H586" t="str">
        <f>IFERROR(_xlfn.XLOOKUP(Table1[[#This Row],[region]],Mappings!$C$3:$C$8,Mappings!$D$3:$D$8,,0,1),"Unknown")</f>
        <v>Asia</v>
      </c>
      <c r="I586" t="s">
        <v>68</v>
      </c>
      <c r="J586" t="str">
        <f>IFERROR(_xlfn.XLOOKUP(Table1[[#This Row],[sales_channel]],Table4[Original],Table4[Clean],,0,1),"Unknown")</f>
        <v>Online</v>
      </c>
      <c r="K586" t="s">
        <v>41</v>
      </c>
      <c r="L586" t="str">
        <f>IFERROR(_xlfn.XLOOKUP(Table1[[#This Row],[product]],Table3[Original],Table3[Product_clean],,0,1),"Unknown")</f>
        <v>Phone</v>
      </c>
      <c r="M586" s="6">
        <v>3</v>
      </c>
      <c r="N586">
        <f>IF(ISNUMBER(Table1[[#This Row],[quantity]]),Table1[[#This Row],[quantity]],IFERROR(VLOOKUP(Table1[[#This Row],[quantity]],Table5[#All],2,FALSE),"Unknown"))</f>
        <v>3</v>
      </c>
      <c r="O586">
        <v>959.11</v>
      </c>
      <c r="P586">
        <f>IFERROR(VALUE(SUBSTITUTE(SUBSTITUTE(SUBSTITUTE(Table1[[#This Row],[revenue]],"EUR",""),"$",""),".",",")),"")</f>
        <v>959.11</v>
      </c>
      <c r="Q586" t="s">
        <v>55</v>
      </c>
      <c r="R586" t="str">
        <f>IF(OR(Table1[[#This Row],[currency]]="EUR",Table1[[#This Row],[currency]]="€"),"EUR",IF(OR(Table1[[#This Row],[currency]]="USD",Table1[[#This Row],[currency]]="$"),"USD","Unknown"))</f>
        <v>EUR</v>
      </c>
      <c r="T586" t="str">
        <f>IFERROR(_xlfn.XLOOKUP(Table1[[#This Row],[order_status]],Table8[Original],Table8[Clean],,0,1),"Unknown")</f>
        <v>Unknown</v>
      </c>
      <c r="U586">
        <v>1</v>
      </c>
      <c r="V586">
        <f>IF(ISNUMBER(Table1[[#This Row],[delivery_days]]),Table1[[#This Row],[delivery_days]],IFERROR(_xlfn.XLOOKUP(Table1[[#This Row],[delivery_days]],Table57[Original],Table57[Clean],,0,1),"Unknown"))</f>
        <v>1</v>
      </c>
      <c r="W586" t="s">
        <v>37</v>
      </c>
    </row>
    <row r="587" spans="1:23" x14ac:dyDescent="0.3">
      <c r="A587" t="s">
        <v>1332</v>
      </c>
      <c r="B587" t="str">
        <f>IF(ISBLANK(Table1[[#This Row],[order_id]]),"",IF(LEFT(Table1[[#This Row],[order_id]],3)="ORD",Table1[[#This Row],[order_id]],"ORD-" &amp; Table1[[#This Row],[order_id]]))</f>
        <v>ORD-1585</v>
      </c>
      <c r="C587" t="s">
        <v>1333</v>
      </c>
      <c r="D587" s="1" t="str">
        <f>IFERROR(DATEVALUE(Table1[[#This Row],[order_date]]),"")</f>
        <v/>
      </c>
      <c r="E587" t="s">
        <v>1334</v>
      </c>
      <c r="F587" t="str">
        <f>IF(ISBLANK(Table1[[#This Row],[customer_name]]),"Unknown Customer",PROPER(SUBSTITUTE(Table1[[#This Row],[customer_name]],"Cust.","Customer")))</f>
        <v>Customer 585</v>
      </c>
      <c r="H587" t="str">
        <f>IFERROR(_xlfn.XLOOKUP(Table1[[#This Row],[region]],Mappings!$C$3:$C$8,Mappings!$D$3:$D$8,,0,1),"Unknown")</f>
        <v>Unknown</v>
      </c>
      <c r="I587" t="s">
        <v>27</v>
      </c>
      <c r="J587" t="str">
        <f>IFERROR(_xlfn.XLOOKUP(Table1[[#This Row],[sales_channel]],Table4[Original],Table4[Clean],,0,1),"Unknown")</f>
        <v>Online</v>
      </c>
      <c r="K587" t="s">
        <v>102</v>
      </c>
      <c r="L587" t="str">
        <f>IFERROR(_xlfn.XLOOKUP(Table1[[#This Row],[product]],Table3[Original],Table3[Product_clean],,0,1),"Unknown")</f>
        <v>Phone</v>
      </c>
      <c r="M587" s="6">
        <v>2</v>
      </c>
      <c r="N587">
        <f>IF(ISNUMBER(Table1[[#This Row],[quantity]]),Table1[[#This Row],[quantity]],IFERROR(VLOOKUP(Table1[[#This Row],[quantity]],Table5[#All],2,FALSE),"Unknown"))</f>
        <v>2</v>
      </c>
      <c r="P587" t="str">
        <f>IFERROR(VALUE(SUBSTITUTE(SUBSTITUTE(SUBSTITUTE(Table1[[#This Row],[revenue]],"EUR",""),"$",""),".",",")),"")</f>
        <v/>
      </c>
      <c r="Q587" t="s">
        <v>58</v>
      </c>
      <c r="R587" t="str">
        <f>IF(OR(Table1[[#This Row],[currency]]="EUR",Table1[[#This Row],[currency]]="€"),"EUR",IF(OR(Table1[[#This Row],[currency]]="USD",Table1[[#This Row],[currency]]="$"),"USD","Unknown"))</f>
        <v>USD</v>
      </c>
      <c r="S587" t="s">
        <v>47</v>
      </c>
      <c r="T587" t="str">
        <f>IFERROR(_xlfn.XLOOKUP(Table1[[#This Row],[order_status]],Table8[Original],Table8[Clean],,0,1),"Unknown")</f>
        <v>Returned</v>
      </c>
      <c r="V587" t="str">
        <f>IF(ISNUMBER(Table1[[#This Row],[delivery_days]]),Table1[[#This Row],[delivery_days]],IFERROR(_xlfn.XLOOKUP(Table1[[#This Row],[delivery_days]],Table57[Original],Table57[Clean],,0,1),"Unknown"))</f>
        <v>Unknown</v>
      </c>
      <c r="W587" t="s">
        <v>24</v>
      </c>
    </row>
    <row r="588" spans="1:23" x14ac:dyDescent="0.3">
      <c r="A588">
        <v>1586</v>
      </c>
      <c r="B588" t="str">
        <f>IF(ISBLANK(Table1[[#This Row],[order_id]]),"",IF(LEFT(Table1[[#This Row],[order_id]],3)="ORD",Table1[[#This Row],[order_id]],"ORD-" &amp; Table1[[#This Row],[order_id]]))</f>
        <v>ORD-1586</v>
      </c>
      <c r="C588" t="s">
        <v>1335</v>
      </c>
      <c r="D588" s="1" t="str">
        <f>IFERROR(DATEVALUE(Table1[[#This Row],[order_date]]),"")</f>
        <v/>
      </c>
      <c r="E588" t="s">
        <v>1336</v>
      </c>
      <c r="F588" t="str">
        <f>IF(ISBLANK(Table1[[#This Row],[customer_name]]),"Unknown Customer",PROPER(SUBSTITUTE(Table1[[#This Row],[customer_name]],"Cust.","Customer")))</f>
        <v>Customer 586</v>
      </c>
      <c r="H588" t="str">
        <f>IFERROR(_xlfn.XLOOKUP(Table1[[#This Row],[region]],Mappings!$C$3:$C$8,Mappings!$D$3:$D$8,,0,1),"Unknown")</f>
        <v>Unknown</v>
      </c>
      <c r="I588" t="s">
        <v>78</v>
      </c>
      <c r="J588" t="str">
        <f>IFERROR(_xlfn.XLOOKUP(Table1[[#This Row],[sales_channel]],Table4[Original],Table4[Clean],,0,1),"Unknown")</f>
        <v>Mobile</v>
      </c>
      <c r="K588" t="s">
        <v>41</v>
      </c>
      <c r="L588" t="str">
        <f>IFERROR(_xlfn.XLOOKUP(Table1[[#This Row],[product]],Table3[Original],Table3[Product_clean],,0,1),"Unknown")</f>
        <v>Phone</v>
      </c>
      <c r="M588" s="6" t="s">
        <v>83</v>
      </c>
      <c r="N588">
        <f>IF(ISNUMBER(Table1[[#This Row],[quantity]]),Table1[[#This Row],[quantity]],IFERROR(VLOOKUP(Table1[[#This Row],[quantity]],Table5[#All],2,FALSE),"Unknown"))</f>
        <v>2</v>
      </c>
      <c r="P588" t="str">
        <f>IFERROR(VALUE(SUBSTITUTE(SUBSTITUTE(SUBSTITUTE(Table1[[#This Row],[revenue]],"EUR",""),"$",""),".",",")),"")</f>
        <v/>
      </c>
      <c r="Q588" t="s">
        <v>55</v>
      </c>
      <c r="R588" t="str">
        <f>IF(OR(Table1[[#This Row],[currency]]="EUR",Table1[[#This Row],[currency]]="€"),"EUR",IF(OR(Table1[[#This Row],[currency]]="USD",Table1[[#This Row],[currency]]="$"),"USD","Unknown"))</f>
        <v>EUR</v>
      </c>
      <c r="T588" t="str">
        <f>IFERROR(_xlfn.XLOOKUP(Table1[[#This Row],[order_status]],Table8[Original],Table8[Clean],,0,1),"Unknown")</f>
        <v>Unknown</v>
      </c>
      <c r="U588">
        <v>5</v>
      </c>
      <c r="V588">
        <f>IF(ISNUMBER(Table1[[#This Row],[delivery_days]]),Table1[[#This Row],[delivery_days]],IFERROR(_xlfn.XLOOKUP(Table1[[#This Row],[delivery_days]],Table57[Original],Table57[Clean],,0,1),"Unknown"))</f>
        <v>5</v>
      </c>
    </row>
    <row r="589" spans="1:23" x14ac:dyDescent="0.3">
      <c r="A589" t="s">
        <v>1337</v>
      </c>
      <c r="B589" t="str">
        <f>IF(ISBLANK(Table1[[#This Row],[order_id]]),"",IF(LEFT(Table1[[#This Row],[order_id]],3)="ORD",Table1[[#This Row],[order_id]],"ORD-" &amp; Table1[[#This Row],[order_id]]))</f>
        <v>ORD-1587</v>
      </c>
      <c r="D589" s="1" t="str">
        <f>IFERROR(DATEVALUE(Table1[[#This Row],[order_date]]),"")</f>
        <v/>
      </c>
      <c r="E589" t="s">
        <v>1338</v>
      </c>
      <c r="F589" t="str">
        <f>IF(ISBLANK(Table1[[#This Row],[customer_name]]),"Unknown Customer",PROPER(SUBSTITUTE(Table1[[#This Row],[customer_name]],"Cust.","Customer")))</f>
        <v>Customer 587</v>
      </c>
      <c r="G589" t="s">
        <v>32</v>
      </c>
      <c r="H589" t="str">
        <f>IFERROR(_xlfn.XLOOKUP(Table1[[#This Row],[region]],Mappings!$C$3:$C$8,Mappings!$D$3:$D$8,,0,1),"Unknown")</f>
        <v>Europe</v>
      </c>
      <c r="J589" t="str">
        <f>IFERROR(_xlfn.XLOOKUP(Table1[[#This Row],[sales_channel]],Table4[Original],Table4[Clean],,0,1),"Unknown")</f>
        <v>Unknown</v>
      </c>
      <c r="K589" t="s">
        <v>51</v>
      </c>
      <c r="L589" t="str">
        <f>IFERROR(_xlfn.XLOOKUP(Table1[[#This Row],[product]],Table3[Original],Table3[Product_clean],,0,1),"Unknown")</f>
        <v>Laptop</v>
      </c>
      <c r="M589" s="6">
        <v>1</v>
      </c>
      <c r="N589">
        <f>IF(ISNUMBER(Table1[[#This Row],[quantity]]),Table1[[#This Row],[quantity]],IFERROR(VLOOKUP(Table1[[#This Row],[quantity]],Table5[#All],2,FALSE),"Unknown"))</f>
        <v>1</v>
      </c>
      <c r="O589">
        <v>2110.52</v>
      </c>
      <c r="P589">
        <f>IFERROR(VALUE(SUBSTITUTE(SUBSTITUTE(SUBSTITUTE(Table1[[#This Row],[revenue]],"EUR",""),"$",""),".",",")),"")</f>
        <v>2110.52</v>
      </c>
      <c r="Q589" t="s">
        <v>58</v>
      </c>
      <c r="R589" t="str">
        <f>IF(OR(Table1[[#This Row],[currency]]="EUR",Table1[[#This Row],[currency]]="€"),"EUR",IF(OR(Table1[[#This Row],[currency]]="USD",Table1[[#This Row],[currency]]="$"),"USD","Unknown"))</f>
        <v>USD</v>
      </c>
      <c r="T589" t="str">
        <f>IFERROR(_xlfn.XLOOKUP(Table1[[#This Row],[order_status]],Table8[Original],Table8[Clean],,0,1),"Unknown")</f>
        <v>Unknown</v>
      </c>
      <c r="U589">
        <v>5</v>
      </c>
      <c r="V589">
        <f>IF(ISNUMBER(Table1[[#This Row],[delivery_days]]),Table1[[#This Row],[delivery_days]],IFERROR(_xlfn.XLOOKUP(Table1[[#This Row],[delivery_days]],Table57[Original],Table57[Clean],,0,1),"Unknown"))</f>
        <v>5</v>
      </c>
      <c r="W589" t="s">
        <v>37</v>
      </c>
    </row>
    <row r="590" spans="1:23" x14ac:dyDescent="0.3">
      <c r="A590" t="s">
        <v>1339</v>
      </c>
      <c r="B590" t="str">
        <f>IF(ISBLANK(Table1[[#This Row],[order_id]]),"",IF(LEFT(Table1[[#This Row],[order_id]],3)="ORD",Table1[[#This Row],[order_id]],"ORD-" &amp; Table1[[#This Row],[order_id]]))</f>
        <v>ORD-1588</v>
      </c>
      <c r="C590" t="s">
        <v>1340</v>
      </c>
      <c r="D590" s="1">
        <f>IFERROR(DATEVALUE(Table1[[#This Row],[order_date]]),"")</f>
        <v>45293</v>
      </c>
      <c r="E590" t="s">
        <v>1341</v>
      </c>
      <c r="F590" t="str">
        <f>IF(ISBLANK(Table1[[#This Row],[customer_name]]),"Unknown Customer",PROPER(SUBSTITUTE(Table1[[#This Row],[customer_name]],"Cust.","Customer")))</f>
        <v>Customer 588</v>
      </c>
      <c r="G590" t="s">
        <v>54</v>
      </c>
      <c r="H590" t="str">
        <f>IFERROR(_xlfn.XLOOKUP(Table1[[#This Row],[region]],Mappings!$C$3:$C$8,Mappings!$D$3:$D$8,,0,1),"Unknown")</f>
        <v>USA</v>
      </c>
      <c r="I590" t="s">
        <v>27</v>
      </c>
      <c r="J590" t="str">
        <f>IFERROR(_xlfn.XLOOKUP(Table1[[#This Row],[sales_channel]],Table4[Original],Table4[Clean],,0,1),"Unknown")</f>
        <v>Online</v>
      </c>
      <c r="K590" t="s">
        <v>33</v>
      </c>
      <c r="L590" t="str">
        <f>IFERROR(_xlfn.XLOOKUP(Table1[[#This Row],[product]],Table3[Original],Table3[Product_clean],,0,1),"Unknown")</f>
        <v>Tablet</v>
      </c>
      <c r="M590" s="6">
        <v>2</v>
      </c>
      <c r="N590">
        <f>IF(ISNUMBER(Table1[[#This Row],[quantity]]),Table1[[#This Row],[quantity]],IFERROR(VLOOKUP(Table1[[#This Row],[quantity]],Table5[#All],2,FALSE),"Unknown"))</f>
        <v>2</v>
      </c>
      <c r="O590" t="s">
        <v>1342</v>
      </c>
      <c r="P590">
        <f>IFERROR(VALUE(SUBSTITUTE(SUBSTITUTE(SUBSTITUTE(Table1[[#This Row],[revenue]],"EUR",""),"$",""),".",",")),"")</f>
        <v>1231.95</v>
      </c>
      <c r="R590" t="str">
        <f>IF(OR(Table1[[#This Row],[currency]]="EUR",Table1[[#This Row],[currency]]="€"),"EUR",IF(OR(Table1[[#This Row],[currency]]="USD",Table1[[#This Row],[currency]]="$"),"USD","Unknown"))</f>
        <v>Unknown</v>
      </c>
      <c r="T590" t="str">
        <f>IFERROR(_xlfn.XLOOKUP(Table1[[#This Row],[order_status]],Table8[Original],Table8[Clean],,0,1),"Unknown")</f>
        <v>Unknown</v>
      </c>
      <c r="U590">
        <v>5</v>
      </c>
      <c r="V590">
        <f>IF(ISNUMBER(Table1[[#This Row],[delivery_days]]),Table1[[#This Row],[delivery_days]],IFERROR(_xlfn.XLOOKUP(Table1[[#This Row],[delivery_days]],Table57[Original],Table57[Clean],,0,1),"Unknown"))</f>
        <v>5</v>
      </c>
      <c r="W590" t="s">
        <v>24</v>
      </c>
    </row>
    <row r="591" spans="1:23" x14ac:dyDescent="0.3">
      <c r="A591" t="s">
        <v>1343</v>
      </c>
      <c r="B591" t="str">
        <f>IF(ISBLANK(Table1[[#This Row],[order_id]]),"",IF(LEFT(Table1[[#This Row],[order_id]],3)="ORD",Table1[[#This Row],[order_id]],"ORD-" &amp; Table1[[#This Row],[order_id]]))</f>
        <v>ORD-1589</v>
      </c>
      <c r="C591" t="s">
        <v>1344</v>
      </c>
      <c r="D591" s="1">
        <f>IFERROR(DATEVALUE(Table1[[#This Row],[order_date]]),"")</f>
        <v>45523</v>
      </c>
      <c r="E591" t="s">
        <v>1345</v>
      </c>
      <c r="F591" t="str">
        <f>IF(ISBLANK(Table1[[#This Row],[customer_name]]),"Unknown Customer",PROPER(SUBSTITUTE(Table1[[#This Row],[customer_name]],"Cust.","Customer")))</f>
        <v>Customer 589</v>
      </c>
      <c r="H591" t="str">
        <f>IFERROR(_xlfn.XLOOKUP(Table1[[#This Row],[region]],Mappings!$C$3:$C$8,Mappings!$D$3:$D$8,,0,1),"Unknown")</f>
        <v>Unknown</v>
      </c>
      <c r="I591" t="s">
        <v>50</v>
      </c>
      <c r="J591" t="str">
        <f>IFERROR(_xlfn.XLOOKUP(Table1[[#This Row],[sales_channel]],Table4[Original],Table4[Clean],,0,1),"Unknown")</f>
        <v>Mobile</v>
      </c>
      <c r="K591" t="s">
        <v>28</v>
      </c>
      <c r="L591" t="str">
        <f>IFERROR(_xlfn.XLOOKUP(Table1[[#This Row],[product]],Table3[Original],Table3[Product_clean],,0,1),"Unknown")</f>
        <v>Laptop</v>
      </c>
      <c r="M591" s="6">
        <v>1</v>
      </c>
      <c r="N591">
        <f>IF(ISNUMBER(Table1[[#This Row],[quantity]]),Table1[[#This Row],[quantity]],IFERROR(VLOOKUP(Table1[[#This Row],[quantity]],Table5[#All],2,FALSE),"Unknown"))</f>
        <v>1</v>
      </c>
      <c r="O591" t="s">
        <v>1346</v>
      </c>
      <c r="P591">
        <f>IFERROR(VALUE(SUBSTITUTE(SUBSTITUTE(SUBSTITUTE(Table1[[#This Row],[revenue]],"EUR",""),"$",""),".",",")),"")</f>
        <v>1461.18</v>
      </c>
      <c r="Q591" t="s">
        <v>22</v>
      </c>
      <c r="R591" t="str">
        <f>IF(OR(Table1[[#This Row],[currency]]="EUR",Table1[[#This Row],[currency]]="€"),"EUR",IF(OR(Table1[[#This Row],[currency]]="USD",Table1[[#This Row],[currency]]="$"),"USD","Unknown"))</f>
        <v>USD</v>
      </c>
      <c r="S591" t="s">
        <v>35</v>
      </c>
      <c r="T591" t="str">
        <f>IFERROR(_xlfn.XLOOKUP(Table1[[#This Row],[order_status]],Table8[Original],Table8[Clean],,0,1),"Unknown")</f>
        <v>Returned</v>
      </c>
      <c r="U591">
        <v>2</v>
      </c>
      <c r="V591">
        <f>IF(ISNUMBER(Table1[[#This Row],[delivery_days]]),Table1[[#This Row],[delivery_days]],IFERROR(_xlfn.XLOOKUP(Table1[[#This Row],[delivery_days]],Table57[Original],Table57[Clean],,0,1),"Unknown"))</f>
        <v>2</v>
      </c>
    </row>
    <row r="592" spans="1:23" x14ac:dyDescent="0.3">
      <c r="A592">
        <v>1590</v>
      </c>
      <c r="B592" t="str">
        <f>IF(ISBLANK(Table1[[#This Row],[order_id]]),"",IF(LEFT(Table1[[#This Row],[order_id]],3)="ORD",Table1[[#This Row],[order_id]],"ORD-" &amp; Table1[[#This Row],[order_id]]))</f>
        <v>ORD-1590</v>
      </c>
      <c r="C592" t="s">
        <v>1347</v>
      </c>
      <c r="D592" s="1">
        <f>IFERROR(DATEVALUE(Table1[[#This Row],[order_date]]),"")</f>
        <v>45485</v>
      </c>
      <c r="E592" t="s">
        <v>1348</v>
      </c>
      <c r="F592" t="str">
        <f>IF(ISBLANK(Table1[[#This Row],[customer_name]]),"Unknown Customer",PROPER(SUBSTITUTE(Table1[[#This Row],[customer_name]],"Cust.","Customer")))</f>
        <v>Customer 590</v>
      </c>
      <c r="G592" t="s">
        <v>73</v>
      </c>
      <c r="H592" t="str">
        <f>IFERROR(_xlfn.XLOOKUP(Table1[[#This Row],[region]],Mappings!$C$3:$C$8,Mappings!$D$3:$D$8,,0,1),"Unknown")</f>
        <v>Europe</v>
      </c>
      <c r="I592" t="s">
        <v>78</v>
      </c>
      <c r="J592" t="str">
        <f>IFERROR(_xlfn.XLOOKUP(Table1[[#This Row],[sales_channel]],Table4[Original],Table4[Clean],,0,1),"Unknown")</f>
        <v>Mobile</v>
      </c>
      <c r="K592" t="s">
        <v>28</v>
      </c>
      <c r="L592" t="str">
        <f>IFERROR(_xlfn.XLOOKUP(Table1[[#This Row],[product]],Table3[Original],Table3[Product_clean],,0,1),"Unknown")</f>
        <v>Laptop</v>
      </c>
      <c r="M592" s="6">
        <v>3</v>
      </c>
      <c r="N592">
        <f>IF(ISNUMBER(Table1[[#This Row],[quantity]]),Table1[[#This Row],[quantity]],IFERROR(VLOOKUP(Table1[[#This Row],[quantity]],Table5[#All],2,FALSE),"Unknown"))</f>
        <v>3</v>
      </c>
      <c r="O592" t="s">
        <v>1349</v>
      </c>
      <c r="P592">
        <f>IFERROR(VALUE(SUBSTITUTE(SUBSTITUTE(SUBSTITUTE(Table1[[#This Row],[revenue]],"EUR",""),"$",""),".",",")),"")</f>
        <v>2837.03</v>
      </c>
      <c r="Q592" t="s">
        <v>58</v>
      </c>
      <c r="R592" t="str">
        <f>IF(OR(Table1[[#This Row],[currency]]="EUR",Table1[[#This Row],[currency]]="€"),"EUR",IF(OR(Table1[[#This Row],[currency]]="USD",Table1[[#This Row],[currency]]="$"),"USD","Unknown"))</f>
        <v>USD</v>
      </c>
      <c r="S592" t="s">
        <v>30</v>
      </c>
      <c r="T592" t="str">
        <f>IFERROR(_xlfn.XLOOKUP(Table1[[#This Row],[order_status]],Table8[Original],Table8[Clean],,0,1),"Unknown")</f>
        <v>Delivered</v>
      </c>
      <c r="U592">
        <v>5</v>
      </c>
      <c r="V592">
        <f>IF(ISNUMBER(Table1[[#This Row],[delivery_days]]),Table1[[#This Row],[delivery_days]],IFERROR(_xlfn.XLOOKUP(Table1[[#This Row],[delivery_days]],Table57[Original],Table57[Clean],,0,1),"Unknown"))</f>
        <v>5</v>
      </c>
    </row>
    <row r="593" spans="1:23" x14ac:dyDescent="0.3">
      <c r="A593" t="s">
        <v>1350</v>
      </c>
      <c r="B593" t="str">
        <f>IF(ISBLANK(Table1[[#This Row],[order_id]]),"",IF(LEFT(Table1[[#This Row],[order_id]],3)="ORD",Table1[[#This Row],[order_id]],"ORD-" &amp; Table1[[#This Row],[order_id]]))</f>
        <v>ORD-1591</v>
      </c>
      <c r="C593" t="s">
        <v>1351</v>
      </c>
      <c r="D593" s="1">
        <f>IFERROR(DATEVALUE(Table1[[#This Row],[order_date]]),"")</f>
        <v>45599</v>
      </c>
      <c r="E593" t="s">
        <v>1352</v>
      </c>
      <c r="F593" t="str">
        <f>IF(ISBLANK(Table1[[#This Row],[customer_name]]),"Unknown Customer",PROPER(SUBSTITUTE(Table1[[#This Row],[customer_name]],"Cust.","Customer")))</f>
        <v>Customer 591</v>
      </c>
      <c r="G593" t="s">
        <v>73</v>
      </c>
      <c r="H593" t="str">
        <f>IFERROR(_xlfn.XLOOKUP(Table1[[#This Row],[region]],Mappings!$C$3:$C$8,Mappings!$D$3:$D$8,,0,1),"Unknown")</f>
        <v>Europe</v>
      </c>
      <c r="J593" t="str">
        <f>IFERROR(_xlfn.XLOOKUP(Table1[[#This Row],[sales_channel]],Table4[Original],Table4[Clean],,0,1),"Unknown")</f>
        <v>Unknown</v>
      </c>
      <c r="K593" t="s">
        <v>33</v>
      </c>
      <c r="L593" t="str">
        <f>IFERROR(_xlfn.XLOOKUP(Table1[[#This Row],[product]],Table3[Original],Table3[Product_clean],,0,1),"Unknown")</f>
        <v>Tablet</v>
      </c>
      <c r="M593" s="6" t="s">
        <v>83</v>
      </c>
      <c r="N593">
        <f>IF(ISNUMBER(Table1[[#This Row],[quantity]]),Table1[[#This Row],[quantity]],IFERROR(VLOOKUP(Table1[[#This Row],[quantity]],Table5[#All],2,FALSE),"Unknown"))</f>
        <v>2</v>
      </c>
      <c r="O593">
        <v>817.47</v>
      </c>
      <c r="P593">
        <f>IFERROR(VALUE(SUBSTITUTE(SUBSTITUTE(SUBSTITUTE(Table1[[#This Row],[revenue]],"EUR",""),"$",""),".",",")),"")</f>
        <v>817.47</v>
      </c>
      <c r="Q593" t="s">
        <v>22</v>
      </c>
      <c r="R593" t="str">
        <f>IF(OR(Table1[[#This Row],[currency]]="EUR",Table1[[#This Row],[currency]]="€"),"EUR",IF(OR(Table1[[#This Row],[currency]]="USD",Table1[[#This Row],[currency]]="$"),"USD","Unknown"))</f>
        <v>USD</v>
      </c>
      <c r="T593" t="str">
        <f>IFERROR(_xlfn.XLOOKUP(Table1[[#This Row],[order_status]],Table8[Original],Table8[Clean],,0,1),"Unknown")</f>
        <v>Unknown</v>
      </c>
      <c r="U593">
        <v>5</v>
      </c>
      <c r="V593">
        <f>IF(ISNUMBER(Table1[[#This Row],[delivery_days]]),Table1[[#This Row],[delivery_days]],IFERROR(_xlfn.XLOOKUP(Table1[[#This Row],[delivery_days]],Table57[Original],Table57[Clean],,0,1),"Unknown"))</f>
        <v>5</v>
      </c>
    </row>
    <row r="594" spans="1:23" x14ac:dyDescent="0.3">
      <c r="A594" t="s">
        <v>1353</v>
      </c>
      <c r="B594" t="str">
        <f>IF(ISBLANK(Table1[[#This Row],[order_id]]),"",IF(LEFT(Table1[[#This Row],[order_id]],3)="ORD",Table1[[#This Row],[order_id]],"ORD-" &amp; Table1[[#This Row],[order_id]]))</f>
        <v>ORD-1592</v>
      </c>
      <c r="C594" t="s">
        <v>588</v>
      </c>
      <c r="D594" s="1" t="str">
        <f>IFERROR(DATEVALUE(Table1[[#This Row],[order_date]]),"")</f>
        <v/>
      </c>
      <c r="F594" t="str">
        <f>IF(ISBLANK(Table1[[#This Row],[customer_name]]),"Unknown Customer",PROPER(SUBSTITUTE(Table1[[#This Row],[customer_name]],"Cust.","Customer")))</f>
        <v>Unknown Customer</v>
      </c>
      <c r="G594" t="s">
        <v>32</v>
      </c>
      <c r="H594" t="str">
        <f>IFERROR(_xlfn.XLOOKUP(Table1[[#This Row],[region]],Mappings!$C$3:$C$8,Mappings!$D$3:$D$8,,0,1),"Unknown")</f>
        <v>Europe</v>
      </c>
      <c r="I594" t="s">
        <v>27</v>
      </c>
      <c r="J594" t="str">
        <f>IFERROR(_xlfn.XLOOKUP(Table1[[#This Row],[sales_channel]],Table4[Original],Table4[Clean],,0,1),"Unknown")</f>
        <v>Online</v>
      </c>
      <c r="K594" t="s">
        <v>41</v>
      </c>
      <c r="L594" t="str">
        <f>IFERROR(_xlfn.XLOOKUP(Table1[[#This Row],[product]],Table3[Original],Table3[Product_clean],,0,1),"Unknown")</f>
        <v>Phone</v>
      </c>
      <c r="M594" s="6">
        <v>2</v>
      </c>
      <c r="N594">
        <f>IF(ISNUMBER(Table1[[#This Row],[quantity]]),Table1[[#This Row],[quantity]],IFERROR(VLOOKUP(Table1[[#This Row],[quantity]],Table5[#All],2,FALSE),"Unknown"))</f>
        <v>2</v>
      </c>
      <c r="O594" t="s">
        <v>1354</v>
      </c>
      <c r="P594">
        <f>IFERROR(VALUE(SUBSTITUTE(SUBSTITUTE(SUBSTITUTE(Table1[[#This Row],[revenue]],"EUR",""),"$",""),".",",")),"")</f>
        <v>2155.0100000000002</v>
      </c>
      <c r="R594" t="str">
        <f>IF(OR(Table1[[#This Row],[currency]]="EUR",Table1[[#This Row],[currency]]="€"),"EUR",IF(OR(Table1[[#This Row],[currency]]="USD",Table1[[#This Row],[currency]]="$"),"USD","Unknown"))</f>
        <v>Unknown</v>
      </c>
      <c r="S594" t="s">
        <v>23</v>
      </c>
      <c r="T594" t="str">
        <f>IFERROR(_xlfn.XLOOKUP(Table1[[#This Row],[order_status]],Table8[Original],Table8[Clean],,0,1),"Unknown")</f>
        <v>Delivered</v>
      </c>
      <c r="U594">
        <v>3</v>
      </c>
      <c r="V594">
        <f>IF(ISNUMBER(Table1[[#This Row],[delivery_days]]),Table1[[#This Row],[delivery_days]],IFERROR(_xlfn.XLOOKUP(Table1[[#This Row],[delivery_days]],Table57[Original],Table57[Clean],,0,1),"Unknown"))</f>
        <v>3</v>
      </c>
      <c r="W594" t="s">
        <v>37</v>
      </c>
    </row>
    <row r="595" spans="1:23" x14ac:dyDescent="0.3">
      <c r="A595">
        <v>1593</v>
      </c>
      <c r="B595" t="str">
        <f>IF(ISBLANK(Table1[[#This Row],[order_id]]),"",IF(LEFT(Table1[[#This Row],[order_id]],3)="ORD",Table1[[#This Row],[order_id]],"ORD-" &amp; Table1[[#This Row],[order_id]]))</f>
        <v>ORD-1593</v>
      </c>
      <c r="C595" t="s">
        <v>1355</v>
      </c>
      <c r="D595" s="1">
        <f>IFERROR(DATEVALUE(Table1[[#This Row],[order_date]]),"")</f>
        <v>45330</v>
      </c>
      <c r="E595" t="s">
        <v>1356</v>
      </c>
      <c r="F595" t="str">
        <f>IF(ISBLANK(Table1[[#This Row],[customer_name]]),"Unknown Customer",PROPER(SUBSTITUTE(Table1[[#This Row],[customer_name]],"Cust.","Customer")))</f>
        <v>Customer 593</v>
      </c>
      <c r="G595" t="s">
        <v>54</v>
      </c>
      <c r="H595" t="str">
        <f>IFERROR(_xlfn.XLOOKUP(Table1[[#This Row],[region]],Mappings!$C$3:$C$8,Mappings!$D$3:$D$8,,0,1),"Unknown")</f>
        <v>USA</v>
      </c>
      <c r="I595" t="s">
        <v>68</v>
      </c>
      <c r="J595" t="str">
        <f>IFERROR(_xlfn.XLOOKUP(Table1[[#This Row],[sales_channel]],Table4[Original],Table4[Clean],,0,1),"Unknown")</f>
        <v>Online</v>
      </c>
      <c r="K595" t="s">
        <v>41</v>
      </c>
      <c r="L595" t="str">
        <f>IFERROR(_xlfn.XLOOKUP(Table1[[#This Row],[product]],Table3[Original],Table3[Product_clean],,0,1),"Unknown")</f>
        <v>Phone</v>
      </c>
      <c r="M595" s="6">
        <v>2</v>
      </c>
      <c r="N595">
        <f>IF(ISNUMBER(Table1[[#This Row],[quantity]]),Table1[[#This Row],[quantity]],IFERROR(VLOOKUP(Table1[[#This Row],[quantity]],Table5[#All],2,FALSE),"Unknown"))</f>
        <v>2</v>
      </c>
      <c r="O595" t="s">
        <v>1357</v>
      </c>
      <c r="P595">
        <f>IFERROR(VALUE(SUBSTITUTE(SUBSTITUTE(SUBSTITUTE(Table1[[#This Row],[revenue]],"EUR",""),"$",""),".",",")),"")</f>
        <v>582.09</v>
      </c>
      <c r="Q595" t="s">
        <v>55</v>
      </c>
      <c r="R595" t="str">
        <f>IF(OR(Table1[[#This Row],[currency]]="EUR",Table1[[#This Row],[currency]]="€"),"EUR",IF(OR(Table1[[#This Row],[currency]]="USD",Table1[[#This Row],[currency]]="$"),"USD","Unknown"))</f>
        <v>EUR</v>
      </c>
      <c r="S595" t="s">
        <v>18</v>
      </c>
      <c r="T595" t="str">
        <f>IFERROR(_xlfn.XLOOKUP(Table1[[#This Row],[order_status]],Table8[Original],Table8[Clean],,0,1),"Unknown")</f>
        <v>Pending</v>
      </c>
      <c r="V595" t="str">
        <f>IF(ISNUMBER(Table1[[#This Row],[delivery_days]]),Table1[[#This Row],[delivery_days]],IFERROR(_xlfn.XLOOKUP(Table1[[#This Row],[delivery_days]],Table57[Original],Table57[Clean],,0,1),"Unknown"))</f>
        <v>Unknown</v>
      </c>
    </row>
    <row r="596" spans="1:23" x14ac:dyDescent="0.3">
      <c r="A596" t="s">
        <v>1358</v>
      </c>
      <c r="B596" t="str">
        <f>IF(ISBLANK(Table1[[#This Row],[order_id]]),"",IF(LEFT(Table1[[#This Row],[order_id]],3)="ORD",Table1[[#This Row],[order_id]],"ORD-" &amp; Table1[[#This Row],[order_id]]))</f>
        <v>ORD-1594</v>
      </c>
      <c r="D596" s="1" t="str">
        <f>IFERROR(DATEVALUE(Table1[[#This Row],[order_date]]),"")</f>
        <v/>
      </c>
      <c r="E596" t="s">
        <v>1359</v>
      </c>
      <c r="F596" t="str">
        <f>IF(ISBLANK(Table1[[#This Row],[customer_name]]),"Unknown Customer",PROPER(SUBSTITUTE(Table1[[#This Row],[customer_name]],"Cust.","Customer")))</f>
        <v>Customer 594</v>
      </c>
      <c r="H596" t="str">
        <f>IFERROR(_xlfn.XLOOKUP(Table1[[#This Row],[region]],Mappings!$C$3:$C$8,Mappings!$D$3:$D$8,,0,1),"Unknown")</f>
        <v>Unknown</v>
      </c>
      <c r="I596" t="s">
        <v>78</v>
      </c>
      <c r="J596" t="str">
        <f>IFERROR(_xlfn.XLOOKUP(Table1[[#This Row],[sales_channel]],Table4[Original],Table4[Clean],,0,1),"Unknown")</f>
        <v>Mobile</v>
      </c>
      <c r="K596" t="s">
        <v>15</v>
      </c>
      <c r="L596" t="str">
        <f>IFERROR(_xlfn.XLOOKUP(Table1[[#This Row],[product]],Table3[Original],Table3[Product_clean],,0,1),"Unknown")</f>
        <v>Tablet</v>
      </c>
      <c r="M596" s="6" t="s">
        <v>83</v>
      </c>
      <c r="N596">
        <f>IF(ISNUMBER(Table1[[#This Row],[quantity]]),Table1[[#This Row],[quantity]],IFERROR(VLOOKUP(Table1[[#This Row],[quantity]],Table5[#All],2,FALSE),"Unknown"))</f>
        <v>2</v>
      </c>
      <c r="O596" t="s">
        <v>1360</v>
      </c>
      <c r="P596">
        <f>IFERROR(VALUE(SUBSTITUTE(SUBSTITUTE(SUBSTITUTE(Table1[[#This Row],[revenue]],"EUR",""),"$",""),".",",")),"")</f>
        <v>80.44</v>
      </c>
      <c r="R596" t="str">
        <f>IF(OR(Table1[[#This Row],[currency]]="EUR",Table1[[#This Row],[currency]]="€"),"EUR",IF(OR(Table1[[#This Row],[currency]]="USD",Table1[[#This Row],[currency]]="$"),"USD","Unknown"))</f>
        <v>Unknown</v>
      </c>
      <c r="S596" t="s">
        <v>35</v>
      </c>
      <c r="T596" t="str">
        <f>IFERROR(_xlfn.XLOOKUP(Table1[[#This Row],[order_status]],Table8[Original],Table8[Clean],,0,1),"Unknown")</f>
        <v>Returned</v>
      </c>
      <c r="U596">
        <v>1</v>
      </c>
      <c r="V596">
        <f>IF(ISNUMBER(Table1[[#This Row],[delivery_days]]),Table1[[#This Row],[delivery_days]],IFERROR(_xlfn.XLOOKUP(Table1[[#This Row],[delivery_days]],Table57[Original],Table57[Clean],,0,1),"Unknown"))</f>
        <v>1</v>
      </c>
    </row>
    <row r="597" spans="1:23" x14ac:dyDescent="0.3">
      <c r="A597">
        <v>1595</v>
      </c>
      <c r="B597" t="str">
        <f>IF(ISBLANK(Table1[[#This Row],[order_id]]),"",IF(LEFT(Table1[[#This Row],[order_id]],3)="ORD",Table1[[#This Row],[order_id]],"ORD-" &amp; Table1[[#This Row],[order_id]]))</f>
        <v>ORD-1595</v>
      </c>
      <c r="D597" s="1" t="str">
        <f>IFERROR(DATEVALUE(Table1[[#This Row],[order_date]]),"")</f>
        <v/>
      </c>
      <c r="E597" t="s">
        <v>1361</v>
      </c>
      <c r="F597" t="str">
        <f>IF(ISBLANK(Table1[[#This Row],[customer_name]]),"Unknown Customer",PROPER(SUBSTITUTE(Table1[[#This Row],[customer_name]],"Cust.","Customer")))</f>
        <v>Customer 595</v>
      </c>
      <c r="G597" t="s">
        <v>45</v>
      </c>
      <c r="H597" t="str">
        <f>IFERROR(_xlfn.XLOOKUP(Table1[[#This Row],[region]],Mappings!$C$3:$C$8,Mappings!$D$3:$D$8,,0,1),"Unknown")</f>
        <v>USA</v>
      </c>
      <c r="J597" t="str">
        <f>IFERROR(_xlfn.XLOOKUP(Table1[[#This Row],[sales_channel]],Table4[Original],Table4[Clean],,0,1),"Unknown")</f>
        <v>Unknown</v>
      </c>
      <c r="L597" t="str">
        <f>IFERROR(_xlfn.XLOOKUP(Table1[[#This Row],[product]],Table3[Original],Table3[Product_clean],,0,1),"Unknown")</f>
        <v>Unknown</v>
      </c>
      <c r="M597" s="6"/>
      <c r="N597" t="str">
        <f>IF(ISNUMBER(Table1[[#This Row],[quantity]]),Table1[[#This Row],[quantity]],IFERROR(VLOOKUP(Table1[[#This Row],[quantity]],Table5[#All],2,FALSE),"Unknown"))</f>
        <v>Unknown</v>
      </c>
      <c r="O597" t="s">
        <v>1362</v>
      </c>
      <c r="P597">
        <f>IFERROR(VALUE(SUBSTITUTE(SUBSTITUTE(SUBSTITUTE(Table1[[#This Row],[revenue]],"EUR",""),"$",""),".",",")),"")</f>
        <v>223.32</v>
      </c>
      <c r="Q597" t="s">
        <v>17</v>
      </c>
      <c r="R597" t="str">
        <f>IF(OR(Table1[[#This Row],[currency]]="EUR",Table1[[#This Row],[currency]]="€"),"EUR",IF(OR(Table1[[#This Row],[currency]]="USD",Table1[[#This Row],[currency]]="$"),"USD","Unknown"))</f>
        <v>EUR</v>
      </c>
      <c r="S597" t="s">
        <v>30</v>
      </c>
      <c r="T597" t="str">
        <f>IFERROR(_xlfn.XLOOKUP(Table1[[#This Row],[order_status]],Table8[Original],Table8[Clean],,0,1),"Unknown")</f>
        <v>Delivered</v>
      </c>
      <c r="U597">
        <v>3</v>
      </c>
      <c r="V597">
        <f>IF(ISNUMBER(Table1[[#This Row],[delivery_days]]),Table1[[#This Row],[delivery_days]],IFERROR(_xlfn.XLOOKUP(Table1[[#This Row],[delivery_days]],Table57[Original],Table57[Clean],,0,1),"Unknown"))</f>
        <v>3</v>
      </c>
    </row>
    <row r="598" spans="1:23" x14ac:dyDescent="0.3">
      <c r="A598">
        <v>1596</v>
      </c>
      <c r="B598" t="str">
        <f>IF(ISBLANK(Table1[[#This Row],[order_id]]),"",IF(LEFT(Table1[[#This Row],[order_id]],3)="ORD",Table1[[#This Row],[order_id]],"ORD-" &amp; Table1[[#This Row],[order_id]]))</f>
        <v>ORD-1596</v>
      </c>
      <c r="C598" t="s">
        <v>1363</v>
      </c>
      <c r="D598" s="1">
        <f>IFERROR(DATEVALUE(Table1[[#This Row],[order_date]]),"")</f>
        <v>45446</v>
      </c>
      <c r="E598" t="s">
        <v>1364</v>
      </c>
      <c r="F598" t="str">
        <f>IF(ISBLANK(Table1[[#This Row],[customer_name]]),"Unknown Customer",PROPER(SUBSTITUTE(Table1[[#This Row],[customer_name]],"Cust.","Customer")))</f>
        <v>Customer 596</v>
      </c>
      <c r="G598" t="s">
        <v>26</v>
      </c>
      <c r="H598" t="str">
        <f>IFERROR(_xlfn.XLOOKUP(Table1[[#This Row],[region]],Mappings!$C$3:$C$8,Mappings!$D$3:$D$8,,0,1),"Unknown")</f>
        <v>Asia</v>
      </c>
      <c r="I598" t="s">
        <v>27</v>
      </c>
      <c r="J598" t="str">
        <f>IFERROR(_xlfn.XLOOKUP(Table1[[#This Row],[sales_channel]],Table4[Original],Table4[Clean],,0,1),"Unknown")</f>
        <v>Online</v>
      </c>
      <c r="K598" t="s">
        <v>33</v>
      </c>
      <c r="L598" t="str">
        <f>IFERROR(_xlfn.XLOOKUP(Table1[[#This Row],[product]],Table3[Original],Table3[Product_clean],,0,1),"Unknown")</f>
        <v>Tablet</v>
      </c>
      <c r="M598" s="6" t="s">
        <v>83</v>
      </c>
      <c r="N598">
        <f>IF(ISNUMBER(Table1[[#This Row],[quantity]]),Table1[[#This Row],[quantity]],IFERROR(VLOOKUP(Table1[[#This Row],[quantity]],Table5[#All],2,FALSE),"Unknown"))</f>
        <v>2</v>
      </c>
      <c r="O598" t="s">
        <v>1365</v>
      </c>
      <c r="P598">
        <f>IFERROR(VALUE(SUBSTITUTE(SUBSTITUTE(SUBSTITUTE(Table1[[#This Row],[revenue]],"EUR",""),"$",""),".",",")),"")</f>
        <v>2933.7</v>
      </c>
      <c r="Q598" t="s">
        <v>55</v>
      </c>
      <c r="R598" t="str">
        <f>IF(OR(Table1[[#This Row],[currency]]="EUR",Table1[[#This Row],[currency]]="€"),"EUR",IF(OR(Table1[[#This Row],[currency]]="USD",Table1[[#This Row],[currency]]="$"),"USD","Unknown"))</f>
        <v>EUR</v>
      </c>
      <c r="S598" t="s">
        <v>47</v>
      </c>
      <c r="T598" t="str">
        <f>IFERROR(_xlfn.XLOOKUP(Table1[[#This Row],[order_status]],Table8[Original],Table8[Clean],,0,1),"Unknown")</f>
        <v>Returned</v>
      </c>
      <c r="U598">
        <v>2</v>
      </c>
      <c r="V598">
        <f>IF(ISNUMBER(Table1[[#This Row],[delivery_days]]),Table1[[#This Row],[delivery_days]],IFERROR(_xlfn.XLOOKUP(Table1[[#This Row],[delivery_days]],Table57[Original],Table57[Clean],,0,1),"Unknown"))</f>
        <v>2</v>
      </c>
    </row>
    <row r="599" spans="1:23" x14ac:dyDescent="0.3">
      <c r="A599">
        <v>1597</v>
      </c>
      <c r="B599" t="str">
        <f>IF(ISBLANK(Table1[[#This Row],[order_id]]),"",IF(LEFT(Table1[[#This Row],[order_id]],3)="ORD",Table1[[#This Row],[order_id]],"ORD-" &amp; Table1[[#This Row],[order_id]]))</f>
        <v>ORD-1597</v>
      </c>
      <c r="C599" t="s">
        <v>1222</v>
      </c>
      <c r="D599" s="1">
        <f>IFERROR(DATEVALUE(Table1[[#This Row],[order_date]]),"")</f>
        <v>45602</v>
      </c>
      <c r="E599" t="s">
        <v>1366</v>
      </c>
      <c r="F599" t="str">
        <f>IF(ISBLANK(Table1[[#This Row],[customer_name]]),"Unknown Customer",PROPER(SUBSTITUTE(Table1[[#This Row],[customer_name]],"Cust.","Customer")))</f>
        <v>Customer 597</v>
      </c>
      <c r="G599" t="s">
        <v>26</v>
      </c>
      <c r="H599" t="str">
        <f>IFERROR(_xlfn.XLOOKUP(Table1[[#This Row],[region]],Mappings!$C$3:$C$8,Mappings!$D$3:$D$8,,0,1),"Unknown")</f>
        <v>Asia</v>
      </c>
      <c r="I599" t="s">
        <v>14</v>
      </c>
      <c r="J599" t="str">
        <f>IFERROR(_xlfn.XLOOKUP(Table1[[#This Row],[sales_channel]],Table4[Original],Table4[Clean],,0,1),"Unknown")</f>
        <v>Online</v>
      </c>
      <c r="K599" t="s">
        <v>28</v>
      </c>
      <c r="L599" t="str">
        <f>IFERROR(_xlfn.XLOOKUP(Table1[[#This Row],[product]],Table3[Original],Table3[Product_clean],,0,1),"Unknown")</f>
        <v>Laptop</v>
      </c>
      <c r="M599" s="6" t="s">
        <v>83</v>
      </c>
      <c r="N599">
        <f>IF(ISNUMBER(Table1[[#This Row],[quantity]]),Table1[[#This Row],[quantity]],IFERROR(VLOOKUP(Table1[[#This Row],[quantity]],Table5[#All],2,FALSE),"Unknown"))</f>
        <v>2</v>
      </c>
      <c r="P599" t="str">
        <f>IFERROR(VALUE(SUBSTITUTE(SUBSTITUTE(SUBSTITUTE(Table1[[#This Row],[revenue]],"EUR",""),"$",""),".",",")),"")</f>
        <v/>
      </c>
      <c r="Q599" t="s">
        <v>55</v>
      </c>
      <c r="R599" t="str">
        <f>IF(OR(Table1[[#This Row],[currency]]="EUR",Table1[[#This Row],[currency]]="€"),"EUR",IF(OR(Table1[[#This Row],[currency]]="USD",Table1[[#This Row],[currency]]="$"),"USD","Unknown"))</f>
        <v>EUR</v>
      </c>
      <c r="T599" t="str">
        <f>IFERROR(_xlfn.XLOOKUP(Table1[[#This Row],[order_status]],Table8[Original],Table8[Clean],,0,1),"Unknown")</f>
        <v>Unknown</v>
      </c>
      <c r="U599">
        <v>3</v>
      </c>
      <c r="V599">
        <f>IF(ISNUMBER(Table1[[#This Row],[delivery_days]]),Table1[[#This Row],[delivery_days]],IFERROR(_xlfn.XLOOKUP(Table1[[#This Row],[delivery_days]],Table57[Original],Table57[Clean],,0,1),"Unknown"))</f>
        <v>3</v>
      </c>
    </row>
    <row r="600" spans="1:23" x14ac:dyDescent="0.3">
      <c r="B600" t="str">
        <f>IF(ISBLANK(Table1[[#This Row],[order_id]]),"",IF(LEFT(Table1[[#This Row],[order_id]],3)="ORD",Table1[[#This Row],[order_id]],"ORD-" &amp; Table1[[#This Row],[order_id]]))</f>
        <v/>
      </c>
      <c r="C600" t="s">
        <v>1367</v>
      </c>
      <c r="D600" s="1" t="str">
        <f>IFERROR(DATEVALUE(Table1[[#This Row],[order_date]]),"")</f>
        <v/>
      </c>
      <c r="E600" t="s">
        <v>1368</v>
      </c>
      <c r="F600" t="str">
        <f>IF(ISBLANK(Table1[[#This Row],[customer_name]]),"Unknown Customer",PROPER(SUBSTITUTE(Table1[[#This Row],[customer_name]],"Cust.","Customer")))</f>
        <v>Customer 598</v>
      </c>
      <c r="G600" t="s">
        <v>32</v>
      </c>
      <c r="H600" t="str">
        <f>IFERROR(_xlfn.XLOOKUP(Table1[[#This Row],[region]],Mappings!$C$3:$C$8,Mappings!$D$3:$D$8,,0,1),"Unknown")</f>
        <v>Europe</v>
      </c>
      <c r="I600" t="s">
        <v>27</v>
      </c>
      <c r="J600" t="str">
        <f>IFERROR(_xlfn.XLOOKUP(Table1[[#This Row],[sales_channel]],Table4[Original],Table4[Clean],,0,1),"Unknown")</f>
        <v>Online</v>
      </c>
      <c r="K600" t="s">
        <v>102</v>
      </c>
      <c r="L600" t="str">
        <f>IFERROR(_xlfn.XLOOKUP(Table1[[#This Row],[product]],Table3[Original],Table3[Product_clean],,0,1),"Unknown")</f>
        <v>Phone</v>
      </c>
      <c r="M600" s="6" t="s">
        <v>83</v>
      </c>
      <c r="N600">
        <f>IF(ISNUMBER(Table1[[#This Row],[quantity]]),Table1[[#This Row],[quantity]],IFERROR(VLOOKUP(Table1[[#This Row],[quantity]],Table5[#All],2,FALSE),"Unknown"))</f>
        <v>2</v>
      </c>
      <c r="O600" t="s">
        <v>1369</v>
      </c>
      <c r="P600">
        <f>IFERROR(VALUE(SUBSTITUTE(SUBSTITUTE(SUBSTITUTE(Table1[[#This Row],[revenue]],"EUR",""),"$",""),".",",")),"")</f>
        <v>2713.24</v>
      </c>
      <c r="Q600" t="s">
        <v>58</v>
      </c>
      <c r="R600" t="str">
        <f>IF(OR(Table1[[#This Row],[currency]]="EUR",Table1[[#This Row],[currency]]="€"),"EUR",IF(OR(Table1[[#This Row],[currency]]="USD",Table1[[#This Row],[currency]]="$"),"USD","Unknown"))</f>
        <v>USD</v>
      </c>
      <c r="S600" t="s">
        <v>18</v>
      </c>
      <c r="T600" t="str">
        <f>IFERROR(_xlfn.XLOOKUP(Table1[[#This Row],[order_status]],Table8[Original],Table8[Clean],,0,1),"Unknown")</f>
        <v>Pending</v>
      </c>
      <c r="V600" t="str">
        <f>IF(ISNUMBER(Table1[[#This Row],[delivery_days]]),Table1[[#This Row],[delivery_days]],IFERROR(_xlfn.XLOOKUP(Table1[[#This Row],[delivery_days]],Table57[Original],Table57[Clean],,0,1),"Unknown"))</f>
        <v>Unknown</v>
      </c>
    </row>
    <row r="601" spans="1:23" x14ac:dyDescent="0.3">
      <c r="A601">
        <v>1599</v>
      </c>
      <c r="B601" t="str">
        <f>IF(ISBLANK(Table1[[#This Row],[order_id]]),"",IF(LEFT(Table1[[#This Row],[order_id]],3)="ORD",Table1[[#This Row],[order_id]],"ORD-" &amp; Table1[[#This Row],[order_id]]))</f>
        <v>ORD-1599</v>
      </c>
      <c r="C601" t="s">
        <v>1131</v>
      </c>
      <c r="D601" s="1">
        <f>IFERROR(DATEVALUE(Table1[[#This Row],[order_date]]),"")</f>
        <v>45319</v>
      </c>
      <c r="E601" t="s">
        <v>1370</v>
      </c>
      <c r="F601" t="str">
        <f>IF(ISBLANK(Table1[[#This Row],[customer_name]]),"Unknown Customer",PROPER(SUBSTITUTE(Table1[[#This Row],[customer_name]],"Cust.","Customer")))</f>
        <v>Customer 599</v>
      </c>
      <c r="G601" t="s">
        <v>32</v>
      </c>
      <c r="H601" t="str">
        <f>IFERROR(_xlfn.XLOOKUP(Table1[[#This Row],[region]],Mappings!$C$3:$C$8,Mappings!$D$3:$D$8,,0,1),"Unknown")</f>
        <v>Europe</v>
      </c>
      <c r="I601" t="s">
        <v>50</v>
      </c>
      <c r="J601" t="str">
        <f>IFERROR(_xlfn.XLOOKUP(Table1[[#This Row],[sales_channel]],Table4[Original],Table4[Clean],,0,1),"Unknown")</f>
        <v>Mobile</v>
      </c>
      <c r="K601" t="s">
        <v>28</v>
      </c>
      <c r="L601" t="str">
        <f>IFERROR(_xlfn.XLOOKUP(Table1[[#This Row],[product]],Table3[Original],Table3[Product_clean],,0,1),"Unknown")</f>
        <v>Laptop</v>
      </c>
      <c r="M601" s="6" t="s">
        <v>83</v>
      </c>
      <c r="N601">
        <f>IF(ISNUMBER(Table1[[#This Row],[quantity]]),Table1[[#This Row],[quantity]],IFERROR(VLOOKUP(Table1[[#This Row],[quantity]],Table5[#All],2,FALSE),"Unknown"))</f>
        <v>2</v>
      </c>
      <c r="O601">
        <v>607.30999999999995</v>
      </c>
      <c r="P601">
        <f>IFERROR(VALUE(SUBSTITUTE(SUBSTITUTE(SUBSTITUTE(Table1[[#This Row],[revenue]],"EUR",""),"$",""),".",",")),"")</f>
        <v>607.30999999999995</v>
      </c>
      <c r="Q601" t="s">
        <v>22</v>
      </c>
      <c r="R601" t="str">
        <f>IF(OR(Table1[[#This Row],[currency]]="EUR",Table1[[#This Row],[currency]]="€"),"EUR",IF(OR(Table1[[#This Row],[currency]]="USD",Table1[[#This Row],[currency]]="$"),"USD","Unknown"))</f>
        <v>USD</v>
      </c>
      <c r="S601" t="s">
        <v>30</v>
      </c>
      <c r="T601" t="str">
        <f>IFERROR(_xlfn.XLOOKUP(Table1[[#This Row],[order_status]],Table8[Original],Table8[Clean],,0,1),"Unknown")</f>
        <v>Delivered</v>
      </c>
      <c r="U601">
        <v>5</v>
      </c>
      <c r="V601">
        <f>IF(ISNUMBER(Table1[[#This Row],[delivery_days]]),Table1[[#This Row],[delivery_days]],IFERROR(_xlfn.XLOOKUP(Table1[[#This Row],[delivery_days]],Table57[Original],Table57[Clean],,0,1),"Unknown"))</f>
        <v>5</v>
      </c>
    </row>
    <row r="602" spans="1:23" x14ac:dyDescent="0.3">
      <c r="A602" t="s">
        <v>1371</v>
      </c>
      <c r="B602" t="str">
        <f>IF(ISBLANK(Table1[[#This Row],[order_id]]),"",IF(LEFT(Table1[[#This Row],[order_id]],3)="ORD",Table1[[#This Row],[order_id]],"ORD-" &amp; Table1[[#This Row],[order_id]]))</f>
        <v>ORD-1600</v>
      </c>
      <c r="D602" s="1" t="str">
        <f>IFERROR(DATEVALUE(Table1[[#This Row],[order_date]]),"")</f>
        <v/>
      </c>
      <c r="E602" t="s">
        <v>1372</v>
      </c>
      <c r="F602" t="str">
        <f>IF(ISBLANK(Table1[[#This Row],[customer_name]]),"Unknown Customer",PROPER(SUBSTITUTE(Table1[[#This Row],[customer_name]],"Cust.","Customer")))</f>
        <v>Customer 600</v>
      </c>
      <c r="H602" t="str">
        <f>IFERROR(_xlfn.XLOOKUP(Table1[[#This Row],[region]],Mappings!$C$3:$C$8,Mappings!$D$3:$D$8,,0,1),"Unknown")</f>
        <v>Unknown</v>
      </c>
      <c r="J602" t="str">
        <f>IFERROR(_xlfn.XLOOKUP(Table1[[#This Row],[sales_channel]],Table4[Original],Table4[Clean],,0,1),"Unknown")</f>
        <v>Unknown</v>
      </c>
      <c r="L602" t="str">
        <f>IFERROR(_xlfn.XLOOKUP(Table1[[#This Row],[product]],Table3[Original],Table3[Product_clean],,0,1),"Unknown")</f>
        <v>Unknown</v>
      </c>
      <c r="M602" s="6">
        <v>2</v>
      </c>
      <c r="N602">
        <f>IF(ISNUMBER(Table1[[#This Row],[quantity]]),Table1[[#This Row],[quantity]],IFERROR(VLOOKUP(Table1[[#This Row],[quantity]],Table5[#All],2,FALSE),"Unknown"))</f>
        <v>2</v>
      </c>
      <c r="P602" t="str">
        <f>IFERROR(VALUE(SUBSTITUTE(SUBSTITUTE(SUBSTITUTE(Table1[[#This Row],[revenue]],"EUR",""),"$",""),".",",")),"")</f>
        <v/>
      </c>
      <c r="Q602" t="s">
        <v>17</v>
      </c>
      <c r="R602" t="str">
        <f>IF(OR(Table1[[#This Row],[currency]]="EUR",Table1[[#This Row],[currency]]="€"),"EUR",IF(OR(Table1[[#This Row],[currency]]="USD",Table1[[#This Row],[currency]]="$"),"USD","Unknown"))</f>
        <v>EUR</v>
      </c>
      <c r="S602" t="s">
        <v>35</v>
      </c>
      <c r="T602" t="str">
        <f>IFERROR(_xlfn.XLOOKUP(Table1[[#This Row],[order_status]],Table8[Original],Table8[Clean],,0,1),"Unknown")</f>
        <v>Returned</v>
      </c>
      <c r="U602">
        <v>1</v>
      </c>
      <c r="V602">
        <f>IF(ISNUMBER(Table1[[#This Row],[delivery_days]]),Table1[[#This Row],[delivery_days]],IFERROR(_xlfn.XLOOKUP(Table1[[#This Row],[delivery_days]],Table57[Original],Table57[Clean],,0,1),"Unknown"))</f>
        <v>1</v>
      </c>
      <c r="W602" t="s">
        <v>37</v>
      </c>
    </row>
    <row r="603" spans="1:23" x14ac:dyDescent="0.3">
      <c r="B603" t="str">
        <f>IF(ISBLANK(Table1[[#This Row],[order_id]]),"",IF(LEFT(Table1[[#This Row],[order_id]],3)="ORD",Table1[[#This Row],[order_id]],"ORD-" &amp; Table1[[#This Row],[order_id]]))</f>
        <v/>
      </c>
      <c r="C603" t="s">
        <v>1373</v>
      </c>
      <c r="D603" s="1" t="str">
        <f>IFERROR(DATEVALUE(Table1[[#This Row],[order_date]]),"")</f>
        <v/>
      </c>
      <c r="E603" t="s">
        <v>1374</v>
      </c>
      <c r="F603" t="str">
        <f>IF(ISBLANK(Table1[[#This Row],[customer_name]]),"Unknown Customer",PROPER(SUBSTITUTE(Table1[[#This Row],[customer_name]],"Cust.","Customer")))</f>
        <v>Customer 601</v>
      </c>
      <c r="G603" t="s">
        <v>45</v>
      </c>
      <c r="H603" t="str">
        <f>IFERROR(_xlfn.XLOOKUP(Table1[[#This Row],[region]],Mappings!$C$3:$C$8,Mappings!$D$3:$D$8,,0,1),"Unknown")</f>
        <v>USA</v>
      </c>
      <c r="I603" t="s">
        <v>14</v>
      </c>
      <c r="J603" t="str">
        <f>IFERROR(_xlfn.XLOOKUP(Table1[[#This Row],[sales_channel]],Table4[Original],Table4[Clean],,0,1),"Unknown")</f>
        <v>Online</v>
      </c>
      <c r="K603" t="s">
        <v>33</v>
      </c>
      <c r="L603" t="str">
        <f>IFERROR(_xlfn.XLOOKUP(Table1[[#This Row],[product]],Table3[Original],Table3[Product_clean],,0,1),"Unknown")</f>
        <v>Tablet</v>
      </c>
      <c r="M603" s="6"/>
      <c r="N603" t="str">
        <f>IF(ISNUMBER(Table1[[#This Row],[quantity]]),Table1[[#This Row],[quantity]],IFERROR(VLOOKUP(Table1[[#This Row],[quantity]],Table5[#All],2,FALSE),"Unknown"))</f>
        <v>Unknown</v>
      </c>
      <c r="O603" t="s">
        <v>1375</v>
      </c>
      <c r="P603">
        <f>IFERROR(VALUE(SUBSTITUTE(SUBSTITUTE(SUBSTITUTE(Table1[[#This Row],[revenue]],"EUR",""),"$",""),".",",")),"")</f>
        <v>582.92999999999995</v>
      </c>
      <c r="Q603" t="s">
        <v>58</v>
      </c>
      <c r="R603" t="str">
        <f>IF(OR(Table1[[#This Row],[currency]]="EUR",Table1[[#This Row],[currency]]="€"),"EUR",IF(OR(Table1[[#This Row],[currency]]="USD",Table1[[#This Row],[currency]]="$"),"USD","Unknown"))</f>
        <v>USD</v>
      </c>
      <c r="S603" t="s">
        <v>47</v>
      </c>
      <c r="T603" t="str">
        <f>IFERROR(_xlfn.XLOOKUP(Table1[[#This Row],[order_status]],Table8[Original],Table8[Clean],,0,1),"Unknown")</f>
        <v>Returned</v>
      </c>
      <c r="U603">
        <v>1</v>
      </c>
      <c r="V603">
        <f>IF(ISNUMBER(Table1[[#This Row],[delivery_days]]),Table1[[#This Row],[delivery_days]],IFERROR(_xlfn.XLOOKUP(Table1[[#This Row],[delivery_days]],Table57[Original],Table57[Clean],,0,1),"Unknown"))</f>
        <v>1</v>
      </c>
      <c r="W603" t="s">
        <v>37</v>
      </c>
    </row>
    <row r="604" spans="1:23" x14ac:dyDescent="0.3">
      <c r="A604" t="s">
        <v>1376</v>
      </c>
      <c r="B604" t="str">
        <f>IF(ISBLANK(Table1[[#This Row],[order_id]]),"",IF(LEFT(Table1[[#This Row],[order_id]],3)="ORD",Table1[[#This Row],[order_id]],"ORD-" &amp; Table1[[#This Row],[order_id]]))</f>
        <v>ORD-1602</v>
      </c>
      <c r="C604" t="s">
        <v>1377</v>
      </c>
      <c r="D604" s="1">
        <f>IFERROR(DATEVALUE(Table1[[#This Row],[order_date]]),"")</f>
        <v>45685</v>
      </c>
      <c r="E604" t="s">
        <v>1378</v>
      </c>
      <c r="F604" t="str">
        <f>IF(ISBLANK(Table1[[#This Row],[customer_name]]),"Unknown Customer",PROPER(SUBSTITUTE(Table1[[#This Row],[customer_name]],"Cust.","Customer")))</f>
        <v>Customer 602</v>
      </c>
      <c r="H604" t="str">
        <f>IFERROR(_xlfn.XLOOKUP(Table1[[#This Row],[region]],Mappings!$C$3:$C$8,Mappings!$D$3:$D$8,,0,1),"Unknown")</f>
        <v>Unknown</v>
      </c>
      <c r="J604" t="str">
        <f>IFERROR(_xlfn.XLOOKUP(Table1[[#This Row],[sales_channel]],Table4[Original],Table4[Clean],,0,1),"Unknown")</f>
        <v>Unknown</v>
      </c>
      <c r="K604" t="s">
        <v>51</v>
      </c>
      <c r="L604" t="str">
        <f>IFERROR(_xlfn.XLOOKUP(Table1[[#This Row],[product]],Table3[Original],Table3[Product_clean],,0,1),"Unknown")</f>
        <v>Laptop</v>
      </c>
      <c r="M604" s="6" t="s">
        <v>83</v>
      </c>
      <c r="N604">
        <f>IF(ISNUMBER(Table1[[#This Row],[quantity]]),Table1[[#This Row],[quantity]],IFERROR(VLOOKUP(Table1[[#This Row],[quantity]],Table5[#All],2,FALSE),"Unknown"))</f>
        <v>2</v>
      </c>
      <c r="O604">
        <v>1519.43</v>
      </c>
      <c r="P604">
        <f>IFERROR(VALUE(SUBSTITUTE(SUBSTITUTE(SUBSTITUTE(Table1[[#This Row],[revenue]],"EUR",""),"$",""),".",",")),"")</f>
        <v>1519.43</v>
      </c>
      <c r="Q604" t="s">
        <v>55</v>
      </c>
      <c r="R604" t="str">
        <f>IF(OR(Table1[[#This Row],[currency]]="EUR",Table1[[#This Row],[currency]]="€"),"EUR",IF(OR(Table1[[#This Row],[currency]]="USD",Table1[[#This Row],[currency]]="$"),"USD","Unknown"))</f>
        <v>EUR</v>
      </c>
      <c r="S604" t="s">
        <v>18</v>
      </c>
      <c r="T604" t="str">
        <f>IFERROR(_xlfn.XLOOKUP(Table1[[#This Row],[order_status]],Table8[Original],Table8[Clean],,0,1),"Unknown")</f>
        <v>Pending</v>
      </c>
      <c r="U604">
        <v>1</v>
      </c>
      <c r="V604">
        <f>IF(ISNUMBER(Table1[[#This Row],[delivery_days]]),Table1[[#This Row],[delivery_days]],IFERROR(_xlfn.XLOOKUP(Table1[[#This Row],[delivery_days]],Table57[Original],Table57[Clean],,0,1),"Unknown"))</f>
        <v>1</v>
      </c>
      <c r="W604" t="s">
        <v>24</v>
      </c>
    </row>
    <row r="605" spans="1:23" x14ac:dyDescent="0.3">
      <c r="B605" t="str">
        <f>IF(ISBLANK(Table1[[#This Row],[order_id]]),"",IF(LEFT(Table1[[#This Row],[order_id]],3)="ORD",Table1[[#This Row],[order_id]],"ORD-" &amp; Table1[[#This Row],[order_id]]))</f>
        <v/>
      </c>
      <c r="D605" s="1" t="str">
        <f>IFERROR(DATEVALUE(Table1[[#This Row],[order_date]]),"")</f>
        <v/>
      </c>
      <c r="F605" t="str">
        <f>IF(ISBLANK(Table1[[#This Row],[customer_name]]),"Unknown Customer",PROPER(SUBSTITUTE(Table1[[#This Row],[customer_name]],"Cust.","Customer")))</f>
        <v>Unknown Customer</v>
      </c>
      <c r="H605" t="str">
        <f>IFERROR(_xlfn.XLOOKUP(Table1[[#This Row],[region]],Mappings!$C$3:$C$8,Mappings!$D$3:$D$8,,0,1),"Unknown")</f>
        <v>Unknown</v>
      </c>
      <c r="I605" t="s">
        <v>50</v>
      </c>
      <c r="J605" t="str">
        <f>IFERROR(_xlfn.XLOOKUP(Table1[[#This Row],[sales_channel]],Table4[Original],Table4[Clean],,0,1),"Unknown")</f>
        <v>Mobile</v>
      </c>
      <c r="K605" t="s">
        <v>33</v>
      </c>
      <c r="L605" t="str">
        <f>IFERROR(_xlfn.XLOOKUP(Table1[[#This Row],[product]],Table3[Original],Table3[Product_clean],,0,1),"Unknown")</f>
        <v>Tablet</v>
      </c>
      <c r="M605" s="6">
        <v>1</v>
      </c>
      <c r="N605">
        <f>IF(ISNUMBER(Table1[[#This Row],[quantity]]),Table1[[#This Row],[quantity]],IFERROR(VLOOKUP(Table1[[#This Row],[quantity]],Table5[#All],2,FALSE),"Unknown"))</f>
        <v>1</v>
      </c>
      <c r="P605" t="str">
        <f>IFERROR(VALUE(SUBSTITUTE(SUBSTITUTE(SUBSTITUTE(Table1[[#This Row],[revenue]],"EUR",""),"$",""),".",",")),"")</f>
        <v/>
      </c>
      <c r="Q605" t="s">
        <v>55</v>
      </c>
      <c r="R605" t="str">
        <f>IF(OR(Table1[[#This Row],[currency]]="EUR",Table1[[#This Row],[currency]]="€"),"EUR",IF(OR(Table1[[#This Row],[currency]]="USD",Table1[[#This Row],[currency]]="$"),"USD","Unknown"))</f>
        <v>EUR</v>
      </c>
      <c r="S605" t="s">
        <v>30</v>
      </c>
      <c r="T605" t="str">
        <f>IFERROR(_xlfn.XLOOKUP(Table1[[#This Row],[order_status]],Table8[Original],Table8[Clean],,0,1),"Unknown")</f>
        <v>Delivered</v>
      </c>
      <c r="V605" t="str">
        <f>IF(ISNUMBER(Table1[[#This Row],[delivery_days]]),Table1[[#This Row],[delivery_days]],IFERROR(_xlfn.XLOOKUP(Table1[[#This Row],[delivery_days]],Table57[Original],Table57[Clean],,0,1),"Unknown"))</f>
        <v>Unknown</v>
      </c>
    </row>
    <row r="606" spans="1:23" x14ac:dyDescent="0.3">
      <c r="A606">
        <v>1604</v>
      </c>
      <c r="B606" t="str">
        <f>IF(ISBLANK(Table1[[#This Row],[order_id]]),"",IF(LEFT(Table1[[#This Row],[order_id]],3)="ORD",Table1[[#This Row],[order_id]],"ORD-" &amp; Table1[[#This Row],[order_id]]))</f>
        <v>ORD-1604</v>
      </c>
      <c r="C606" t="s">
        <v>938</v>
      </c>
      <c r="D606" s="1">
        <f>IFERROR(DATEVALUE(Table1[[#This Row],[order_date]]),"")</f>
        <v>45458</v>
      </c>
      <c r="E606" t="s">
        <v>1379</v>
      </c>
      <c r="F606" t="str">
        <f>IF(ISBLANK(Table1[[#This Row],[customer_name]]),"Unknown Customer",PROPER(SUBSTITUTE(Table1[[#This Row],[customer_name]],"Cust.","Customer")))</f>
        <v>Customer 604</v>
      </c>
      <c r="G606" t="s">
        <v>26</v>
      </c>
      <c r="H606" t="str">
        <f>IFERROR(_xlfn.XLOOKUP(Table1[[#This Row],[region]],Mappings!$C$3:$C$8,Mappings!$D$3:$D$8,,0,1),"Unknown")</f>
        <v>Asia</v>
      </c>
      <c r="I606" t="s">
        <v>14</v>
      </c>
      <c r="J606" t="str">
        <f>IFERROR(_xlfn.XLOOKUP(Table1[[#This Row],[sales_channel]],Table4[Original],Table4[Clean],,0,1),"Unknown")</f>
        <v>Online</v>
      </c>
      <c r="K606" t="s">
        <v>15</v>
      </c>
      <c r="L606" t="str">
        <f>IFERROR(_xlfn.XLOOKUP(Table1[[#This Row],[product]],Table3[Original],Table3[Product_clean],,0,1),"Unknown")</f>
        <v>Tablet</v>
      </c>
      <c r="M606" s="6">
        <v>1</v>
      </c>
      <c r="N606">
        <f>IF(ISNUMBER(Table1[[#This Row],[quantity]]),Table1[[#This Row],[quantity]],IFERROR(VLOOKUP(Table1[[#This Row],[quantity]],Table5[#All],2,FALSE),"Unknown"))</f>
        <v>1</v>
      </c>
      <c r="O606" t="s">
        <v>1380</v>
      </c>
      <c r="P606">
        <f>IFERROR(VALUE(SUBSTITUTE(SUBSTITUTE(SUBSTITUTE(Table1[[#This Row],[revenue]],"EUR",""),"$",""),".",",")),"")</f>
        <v>2844.88</v>
      </c>
      <c r="R606" t="str">
        <f>IF(OR(Table1[[#This Row],[currency]]="EUR",Table1[[#This Row],[currency]]="€"),"EUR",IF(OR(Table1[[#This Row],[currency]]="USD",Table1[[#This Row],[currency]]="$"),"USD","Unknown"))</f>
        <v>Unknown</v>
      </c>
      <c r="S606" t="s">
        <v>18</v>
      </c>
      <c r="T606" t="str">
        <f>IFERROR(_xlfn.XLOOKUP(Table1[[#This Row],[order_status]],Table8[Original],Table8[Clean],,0,1),"Unknown")</f>
        <v>Pending</v>
      </c>
      <c r="U606">
        <v>5</v>
      </c>
      <c r="V606">
        <f>IF(ISNUMBER(Table1[[#This Row],[delivery_days]]),Table1[[#This Row],[delivery_days]],IFERROR(_xlfn.XLOOKUP(Table1[[#This Row],[delivery_days]],Table57[Original],Table57[Clean],,0,1),"Unknown"))</f>
        <v>5</v>
      </c>
    </row>
    <row r="607" spans="1:23" x14ac:dyDescent="0.3">
      <c r="A607" t="s">
        <v>1381</v>
      </c>
      <c r="B607" t="str">
        <f>IF(ISBLANK(Table1[[#This Row],[order_id]]),"",IF(LEFT(Table1[[#This Row],[order_id]],3)="ORD",Table1[[#This Row],[order_id]],"ORD-" &amp; Table1[[#This Row],[order_id]]))</f>
        <v>ORD-1605</v>
      </c>
      <c r="C607" t="s">
        <v>1382</v>
      </c>
      <c r="D607" s="1">
        <f>IFERROR(DATEVALUE(Table1[[#This Row],[order_date]]),"")</f>
        <v>45496</v>
      </c>
      <c r="E607" t="s">
        <v>1383</v>
      </c>
      <c r="F607" t="str">
        <f>IF(ISBLANK(Table1[[#This Row],[customer_name]]),"Unknown Customer",PROPER(SUBSTITUTE(Table1[[#This Row],[customer_name]],"Cust.","Customer")))</f>
        <v>Customer 605</v>
      </c>
      <c r="H607" t="str">
        <f>IFERROR(_xlfn.XLOOKUP(Table1[[#This Row],[region]],Mappings!$C$3:$C$8,Mappings!$D$3:$D$8,,0,1),"Unknown")</f>
        <v>Unknown</v>
      </c>
      <c r="I607" t="s">
        <v>27</v>
      </c>
      <c r="J607" t="str">
        <f>IFERROR(_xlfn.XLOOKUP(Table1[[#This Row],[sales_channel]],Table4[Original],Table4[Clean],,0,1),"Unknown")</f>
        <v>Online</v>
      </c>
      <c r="K607" t="s">
        <v>28</v>
      </c>
      <c r="L607" t="str">
        <f>IFERROR(_xlfn.XLOOKUP(Table1[[#This Row],[product]],Table3[Original],Table3[Product_clean],,0,1),"Unknown")</f>
        <v>Laptop</v>
      </c>
      <c r="M607" s="6" t="s">
        <v>83</v>
      </c>
      <c r="N607">
        <f>IF(ISNUMBER(Table1[[#This Row],[quantity]]),Table1[[#This Row],[quantity]],IFERROR(VLOOKUP(Table1[[#This Row],[quantity]],Table5[#All],2,FALSE),"Unknown"))</f>
        <v>2</v>
      </c>
      <c r="O607" t="s">
        <v>1384</v>
      </c>
      <c r="P607">
        <f>IFERROR(VALUE(SUBSTITUTE(SUBSTITUTE(SUBSTITUTE(Table1[[#This Row],[revenue]],"EUR",""),"$",""),".",",")),"")</f>
        <v>802.73</v>
      </c>
      <c r="Q607" t="s">
        <v>22</v>
      </c>
      <c r="R607" t="str">
        <f>IF(OR(Table1[[#This Row],[currency]]="EUR",Table1[[#This Row],[currency]]="€"),"EUR",IF(OR(Table1[[#This Row],[currency]]="USD",Table1[[#This Row],[currency]]="$"),"USD","Unknown"))</f>
        <v>USD</v>
      </c>
      <c r="S607" t="s">
        <v>35</v>
      </c>
      <c r="T607" t="str">
        <f>IFERROR(_xlfn.XLOOKUP(Table1[[#This Row],[order_status]],Table8[Original],Table8[Clean],,0,1),"Unknown")</f>
        <v>Returned</v>
      </c>
      <c r="V607" t="str">
        <f>IF(ISNUMBER(Table1[[#This Row],[delivery_days]]),Table1[[#This Row],[delivery_days]],IFERROR(_xlfn.XLOOKUP(Table1[[#This Row],[delivery_days]],Table57[Original],Table57[Clean],,0,1),"Unknown"))</f>
        <v>Unknown</v>
      </c>
      <c r="W607" t="s">
        <v>37</v>
      </c>
    </row>
    <row r="608" spans="1:23" x14ac:dyDescent="0.3">
      <c r="B608" t="str">
        <f>IF(ISBLANK(Table1[[#This Row],[order_id]]),"",IF(LEFT(Table1[[#This Row],[order_id]],3)="ORD",Table1[[#This Row],[order_id]],"ORD-" &amp; Table1[[#This Row],[order_id]]))</f>
        <v/>
      </c>
      <c r="C608" t="s">
        <v>1385</v>
      </c>
      <c r="D608" s="1">
        <f>IFERROR(DATEVALUE(Table1[[#This Row],[order_date]]),"")</f>
        <v>45325</v>
      </c>
      <c r="E608" t="s">
        <v>1386</v>
      </c>
      <c r="F608" t="str">
        <f>IF(ISBLANK(Table1[[#This Row],[customer_name]]),"Unknown Customer",PROPER(SUBSTITUTE(Table1[[#This Row],[customer_name]],"Cust.","Customer")))</f>
        <v>Customer 606</v>
      </c>
      <c r="G608" t="s">
        <v>26</v>
      </c>
      <c r="H608" t="str">
        <f>IFERROR(_xlfn.XLOOKUP(Table1[[#This Row],[region]],Mappings!$C$3:$C$8,Mappings!$D$3:$D$8,,0,1),"Unknown")</f>
        <v>Asia</v>
      </c>
      <c r="J608" t="str">
        <f>IFERROR(_xlfn.XLOOKUP(Table1[[#This Row],[sales_channel]],Table4[Original],Table4[Clean],,0,1),"Unknown")</f>
        <v>Unknown</v>
      </c>
      <c r="K608" t="s">
        <v>51</v>
      </c>
      <c r="L608" t="str">
        <f>IFERROR(_xlfn.XLOOKUP(Table1[[#This Row],[product]],Table3[Original],Table3[Product_clean],,0,1),"Unknown")</f>
        <v>Laptop</v>
      </c>
      <c r="M608" s="6">
        <v>3</v>
      </c>
      <c r="N608">
        <f>IF(ISNUMBER(Table1[[#This Row],[quantity]]),Table1[[#This Row],[quantity]],IFERROR(VLOOKUP(Table1[[#This Row],[quantity]],Table5[#All],2,FALSE),"Unknown"))</f>
        <v>3</v>
      </c>
      <c r="P608" t="str">
        <f>IFERROR(VALUE(SUBSTITUTE(SUBSTITUTE(SUBSTITUTE(Table1[[#This Row],[revenue]],"EUR",""),"$",""),".",",")),"")</f>
        <v/>
      </c>
      <c r="R608" t="str">
        <f>IF(OR(Table1[[#This Row],[currency]]="EUR",Table1[[#This Row],[currency]]="€"),"EUR",IF(OR(Table1[[#This Row],[currency]]="USD",Table1[[#This Row],[currency]]="$"),"USD","Unknown"))</f>
        <v>Unknown</v>
      </c>
      <c r="S608" t="s">
        <v>23</v>
      </c>
      <c r="T608" t="str">
        <f>IFERROR(_xlfn.XLOOKUP(Table1[[#This Row],[order_status]],Table8[Original],Table8[Clean],,0,1),"Unknown")</f>
        <v>Delivered</v>
      </c>
      <c r="U608">
        <v>5</v>
      </c>
      <c r="V608">
        <f>IF(ISNUMBER(Table1[[#This Row],[delivery_days]]),Table1[[#This Row],[delivery_days]],IFERROR(_xlfn.XLOOKUP(Table1[[#This Row],[delivery_days]],Table57[Original],Table57[Clean],,0,1),"Unknown"))</f>
        <v>5</v>
      </c>
    </row>
    <row r="609" spans="1:23" x14ac:dyDescent="0.3">
      <c r="A609">
        <v>1607</v>
      </c>
      <c r="B609" t="str">
        <f>IF(ISBLANK(Table1[[#This Row],[order_id]]),"",IF(LEFT(Table1[[#This Row],[order_id]],3)="ORD",Table1[[#This Row],[order_id]],"ORD-" &amp; Table1[[#This Row],[order_id]]))</f>
        <v>ORD-1607</v>
      </c>
      <c r="D609" s="1" t="str">
        <f>IFERROR(DATEVALUE(Table1[[#This Row],[order_date]]),"")</f>
        <v/>
      </c>
      <c r="E609" t="s">
        <v>1387</v>
      </c>
      <c r="F609" t="str">
        <f>IF(ISBLANK(Table1[[#This Row],[customer_name]]),"Unknown Customer",PROPER(SUBSTITUTE(Table1[[#This Row],[customer_name]],"Cust.","Customer")))</f>
        <v>Customer 607</v>
      </c>
      <c r="G609" t="s">
        <v>45</v>
      </c>
      <c r="H609" t="str">
        <f>IFERROR(_xlfn.XLOOKUP(Table1[[#This Row],[region]],Mappings!$C$3:$C$8,Mappings!$D$3:$D$8,,0,1),"Unknown")</f>
        <v>USA</v>
      </c>
      <c r="I609" t="s">
        <v>27</v>
      </c>
      <c r="J609" t="str">
        <f>IFERROR(_xlfn.XLOOKUP(Table1[[#This Row],[sales_channel]],Table4[Original],Table4[Clean],,0,1),"Unknown")</f>
        <v>Online</v>
      </c>
      <c r="K609" t="s">
        <v>41</v>
      </c>
      <c r="L609" t="str">
        <f>IFERROR(_xlfn.XLOOKUP(Table1[[#This Row],[product]],Table3[Original],Table3[Product_clean],,0,1),"Unknown")</f>
        <v>Phone</v>
      </c>
      <c r="M609" s="6" t="s">
        <v>83</v>
      </c>
      <c r="N609">
        <f>IF(ISNUMBER(Table1[[#This Row],[quantity]]),Table1[[#This Row],[quantity]],IFERROR(VLOOKUP(Table1[[#This Row],[quantity]],Table5[#All],2,FALSE),"Unknown"))</f>
        <v>2</v>
      </c>
      <c r="P609" t="str">
        <f>IFERROR(VALUE(SUBSTITUTE(SUBSTITUTE(SUBSTITUTE(Table1[[#This Row],[revenue]],"EUR",""),"$",""),".",",")),"")</f>
        <v/>
      </c>
      <c r="Q609" t="s">
        <v>17</v>
      </c>
      <c r="R609" t="str">
        <f>IF(OR(Table1[[#This Row],[currency]]="EUR",Table1[[#This Row],[currency]]="€"),"EUR",IF(OR(Table1[[#This Row],[currency]]="USD",Table1[[#This Row],[currency]]="$"),"USD","Unknown"))</f>
        <v>EUR</v>
      </c>
      <c r="S609" t="s">
        <v>30</v>
      </c>
      <c r="T609" t="str">
        <f>IFERROR(_xlfn.XLOOKUP(Table1[[#This Row],[order_status]],Table8[Original],Table8[Clean],,0,1),"Unknown")</f>
        <v>Delivered</v>
      </c>
      <c r="U609" t="s">
        <v>36</v>
      </c>
      <c r="V609">
        <f>IF(ISNUMBER(Table1[[#This Row],[delivery_days]]),Table1[[#This Row],[delivery_days]],IFERROR(_xlfn.XLOOKUP(Table1[[#This Row],[delivery_days]],Table57[Original],Table57[Clean],,0,1),"Unknown"))</f>
        <v>5</v>
      </c>
      <c r="W609" t="s">
        <v>24</v>
      </c>
    </row>
    <row r="610" spans="1:23" x14ac:dyDescent="0.3">
      <c r="A610" t="s">
        <v>1388</v>
      </c>
      <c r="B610" t="str">
        <f>IF(ISBLANK(Table1[[#This Row],[order_id]]),"",IF(LEFT(Table1[[#This Row],[order_id]],3)="ORD",Table1[[#This Row],[order_id]],"ORD-" &amp; Table1[[#This Row],[order_id]]))</f>
        <v>ORD-1608</v>
      </c>
      <c r="C610" t="s">
        <v>929</v>
      </c>
      <c r="D610" s="1">
        <f>IFERROR(DATEVALUE(Table1[[#This Row],[order_date]]),"")</f>
        <v>45529</v>
      </c>
      <c r="E610" t="s">
        <v>1389</v>
      </c>
      <c r="F610" t="str">
        <f>IF(ISBLANK(Table1[[#This Row],[customer_name]]),"Unknown Customer",PROPER(SUBSTITUTE(Table1[[#This Row],[customer_name]],"Cust.","Customer")))</f>
        <v>Customer 608</v>
      </c>
      <c r="G610" t="s">
        <v>32</v>
      </c>
      <c r="H610" t="str">
        <f>IFERROR(_xlfn.XLOOKUP(Table1[[#This Row],[region]],Mappings!$C$3:$C$8,Mappings!$D$3:$D$8,,0,1),"Unknown")</f>
        <v>Europe</v>
      </c>
      <c r="I610" t="s">
        <v>78</v>
      </c>
      <c r="J610" t="str">
        <f>IFERROR(_xlfn.XLOOKUP(Table1[[#This Row],[sales_channel]],Table4[Original],Table4[Clean],,0,1),"Unknown")</f>
        <v>Mobile</v>
      </c>
      <c r="K610" t="s">
        <v>51</v>
      </c>
      <c r="L610" t="str">
        <f>IFERROR(_xlfn.XLOOKUP(Table1[[#This Row],[product]],Table3[Original],Table3[Product_clean],,0,1),"Unknown")</f>
        <v>Laptop</v>
      </c>
      <c r="M610" s="6" t="s">
        <v>83</v>
      </c>
      <c r="N610">
        <f>IF(ISNUMBER(Table1[[#This Row],[quantity]]),Table1[[#This Row],[quantity]],IFERROR(VLOOKUP(Table1[[#This Row],[quantity]],Table5[#All],2,FALSE),"Unknown"))</f>
        <v>2</v>
      </c>
      <c r="O610" t="s">
        <v>1390</v>
      </c>
      <c r="P610">
        <f>IFERROR(VALUE(SUBSTITUTE(SUBSTITUTE(SUBSTITUTE(Table1[[#This Row],[revenue]],"EUR",""),"$",""),".",",")),"")</f>
        <v>2045.5</v>
      </c>
      <c r="Q610" t="s">
        <v>55</v>
      </c>
      <c r="R610" t="str">
        <f>IF(OR(Table1[[#This Row],[currency]]="EUR",Table1[[#This Row],[currency]]="€"),"EUR",IF(OR(Table1[[#This Row],[currency]]="USD",Table1[[#This Row],[currency]]="$"),"USD","Unknown"))</f>
        <v>EUR</v>
      </c>
      <c r="S610" t="s">
        <v>23</v>
      </c>
      <c r="T610" t="str">
        <f>IFERROR(_xlfn.XLOOKUP(Table1[[#This Row],[order_status]],Table8[Original],Table8[Clean],,0,1),"Unknown")</f>
        <v>Delivered</v>
      </c>
      <c r="U610">
        <v>2</v>
      </c>
      <c r="V610">
        <f>IF(ISNUMBER(Table1[[#This Row],[delivery_days]]),Table1[[#This Row],[delivery_days]],IFERROR(_xlfn.XLOOKUP(Table1[[#This Row],[delivery_days]],Table57[Original],Table57[Clean],,0,1),"Unknown"))</f>
        <v>2</v>
      </c>
      <c r="W610" t="s">
        <v>24</v>
      </c>
    </row>
    <row r="611" spans="1:23" x14ac:dyDescent="0.3">
      <c r="B611" t="str">
        <f>IF(ISBLANK(Table1[[#This Row],[order_id]]),"",IF(LEFT(Table1[[#This Row],[order_id]],3)="ORD",Table1[[#This Row],[order_id]],"ORD-" &amp; Table1[[#This Row],[order_id]]))</f>
        <v/>
      </c>
      <c r="C611" t="s">
        <v>643</v>
      </c>
      <c r="D611" s="1">
        <f>IFERROR(DATEVALUE(Table1[[#This Row],[order_date]]),"")</f>
        <v>45419</v>
      </c>
      <c r="E611" t="s">
        <v>1391</v>
      </c>
      <c r="F611" t="str">
        <f>IF(ISBLANK(Table1[[#This Row],[customer_name]]),"Unknown Customer",PROPER(SUBSTITUTE(Table1[[#This Row],[customer_name]],"Cust.","Customer")))</f>
        <v>Customer 609</v>
      </c>
      <c r="G611" t="s">
        <v>73</v>
      </c>
      <c r="H611" t="str">
        <f>IFERROR(_xlfn.XLOOKUP(Table1[[#This Row],[region]],Mappings!$C$3:$C$8,Mappings!$D$3:$D$8,,0,1),"Unknown")</f>
        <v>Europe</v>
      </c>
      <c r="I611" t="s">
        <v>68</v>
      </c>
      <c r="J611" t="str">
        <f>IFERROR(_xlfn.XLOOKUP(Table1[[#This Row],[sales_channel]],Table4[Original],Table4[Clean],,0,1),"Unknown")</f>
        <v>Online</v>
      </c>
      <c r="K611" t="s">
        <v>51</v>
      </c>
      <c r="L611" t="str">
        <f>IFERROR(_xlfn.XLOOKUP(Table1[[#This Row],[product]],Table3[Original],Table3[Product_clean],,0,1),"Unknown")</f>
        <v>Laptop</v>
      </c>
      <c r="M611" s="6"/>
      <c r="N611" t="str">
        <f>IF(ISNUMBER(Table1[[#This Row],[quantity]]),Table1[[#This Row],[quantity]],IFERROR(VLOOKUP(Table1[[#This Row],[quantity]],Table5[#All],2,FALSE),"Unknown"))</f>
        <v>Unknown</v>
      </c>
      <c r="O611" t="s">
        <v>1392</v>
      </c>
      <c r="P611">
        <f>IFERROR(VALUE(SUBSTITUTE(SUBSTITUTE(SUBSTITUTE(Table1[[#This Row],[revenue]],"EUR",""),"$",""),".",",")),"")</f>
        <v>1593.12</v>
      </c>
      <c r="Q611" t="s">
        <v>22</v>
      </c>
      <c r="R611" t="str">
        <f>IF(OR(Table1[[#This Row],[currency]]="EUR",Table1[[#This Row],[currency]]="€"),"EUR",IF(OR(Table1[[#This Row],[currency]]="USD",Table1[[#This Row],[currency]]="$"),"USD","Unknown"))</f>
        <v>USD</v>
      </c>
      <c r="S611" t="s">
        <v>47</v>
      </c>
      <c r="T611" t="str">
        <f>IFERROR(_xlfn.XLOOKUP(Table1[[#This Row],[order_status]],Table8[Original],Table8[Clean],,0,1),"Unknown")</f>
        <v>Returned</v>
      </c>
      <c r="U611">
        <v>1</v>
      </c>
      <c r="V611">
        <f>IF(ISNUMBER(Table1[[#This Row],[delivery_days]]),Table1[[#This Row],[delivery_days]],IFERROR(_xlfn.XLOOKUP(Table1[[#This Row],[delivery_days]],Table57[Original],Table57[Clean],,0,1),"Unknown"))</f>
        <v>1</v>
      </c>
    </row>
    <row r="612" spans="1:23" x14ac:dyDescent="0.3">
      <c r="A612" t="s">
        <v>1393</v>
      </c>
      <c r="B612" t="str">
        <f>IF(ISBLANK(Table1[[#This Row],[order_id]]),"",IF(LEFT(Table1[[#This Row],[order_id]],3)="ORD",Table1[[#This Row],[order_id]],"ORD-" &amp; Table1[[#This Row],[order_id]]))</f>
        <v>ORD-1610</v>
      </c>
      <c r="C612" t="s">
        <v>1394</v>
      </c>
      <c r="D612" s="1">
        <f>IFERROR(DATEVALUE(Table1[[#This Row],[order_date]]),"")</f>
        <v>45394</v>
      </c>
      <c r="E612" t="s">
        <v>1395</v>
      </c>
      <c r="F612" t="str">
        <f>IF(ISBLANK(Table1[[#This Row],[customer_name]]),"Unknown Customer",PROPER(SUBSTITUTE(Table1[[#This Row],[customer_name]],"Cust.","Customer")))</f>
        <v>Customer 610</v>
      </c>
      <c r="H612" t="str">
        <f>IFERROR(_xlfn.XLOOKUP(Table1[[#This Row],[region]],Mappings!$C$3:$C$8,Mappings!$D$3:$D$8,,0,1),"Unknown")</f>
        <v>Unknown</v>
      </c>
      <c r="I612" t="s">
        <v>68</v>
      </c>
      <c r="J612" t="str">
        <f>IFERROR(_xlfn.XLOOKUP(Table1[[#This Row],[sales_channel]],Table4[Original],Table4[Clean],,0,1),"Unknown")</f>
        <v>Online</v>
      </c>
      <c r="K612" t="s">
        <v>51</v>
      </c>
      <c r="L612" t="str">
        <f>IFERROR(_xlfn.XLOOKUP(Table1[[#This Row],[product]],Table3[Original],Table3[Product_clean],,0,1),"Unknown")</f>
        <v>Laptop</v>
      </c>
      <c r="M612" s="6">
        <v>1</v>
      </c>
      <c r="N612">
        <f>IF(ISNUMBER(Table1[[#This Row],[quantity]]),Table1[[#This Row],[quantity]],IFERROR(VLOOKUP(Table1[[#This Row],[quantity]],Table5[#All],2,FALSE),"Unknown"))</f>
        <v>1</v>
      </c>
      <c r="O612" t="s">
        <v>1396</v>
      </c>
      <c r="P612">
        <f>IFERROR(VALUE(SUBSTITUTE(SUBSTITUTE(SUBSTITUTE(Table1[[#This Row],[revenue]],"EUR",""),"$",""),".",",")),"")</f>
        <v>2174.91</v>
      </c>
      <c r="Q612" t="s">
        <v>22</v>
      </c>
      <c r="R612" t="str">
        <f>IF(OR(Table1[[#This Row],[currency]]="EUR",Table1[[#This Row],[currency]]="€"),"EUR",IF(OR(Table1[[#This Row],[currency]]="USD",Table1[[#This Row],[currency]]="$"),"USD","Unknown"))</f>
        <v>USD</v>
      </c>
      <c r="S612" t="s">
        <v>23</v>
      </c>
      <c r="T612" t="str">
        <f>IFERROR(_xlfn.XLOOKUP(Table1[[#This Row],[order_status]],Table8[Original],Table8[Clean],,0,1),"Unknown")</f>
        <v>Delivered</v>
      </c>
      <c r="U612">
        <v>2</v>
      </c>
      <c r="V612">
        <f>IF(ISNUMBER(Table1[[#This Row],[delivery_days]]),Table1[[#This Row],[delivery_days]],IFERROR(_xlfn.XLOOKUP(Table1[[#This Row],[delivery_days]],Table57[Original],Table57[Clean],,0,1),"Unknown"))</f>
        <v>2</v>
      </c>
    </row>
    <row r="613" spans="1:23" x14ac:dyDescent="0.3">
      <c r="A613" t="s">
        <v>1397</v>
      </c>
      <c r="B613" t="str">
        <f>IF(ISBLANK(Table1[[#This Row],[order_id]]),"",IF(LEFT(Table1[[#This Row],[order_id]],3)="ORD",Table1[[#This Row],[order_id]],"ORD-" &amp; Table1[[#This Row],[order_id]]))</f>
        <v>ORD-1611</v>
      </c>
      <c r="D613" s="1" t="str">
        <f>IFERROR(DATEVALUE(Table1[[#This Row],[order_date]]),"")</f>
        <v/>
      </c>
      <c r="F613" t="str">
        <f>IF(ISBLANK(Table1[[#This Row],[customer_name]]),"Unknown Customer",PROPER(SUBSTITUTE(Table1[[#This Row],[customer_name]],"Cust.","Customer")))</f>
        <v>Unknown Customer</v>
      </c>
      <c r="G613" t="s">
        <v>45</v>
      </c>
      <c r="H613" t="str">
        <f>IFERROR(_xlfn.XLOOKUP(Table1[[#This Row],[region]],Mappings!$C$3:$C$8,Mappings!$D$3:$D$8,,0,1),"Unknown")</f>
        <v>USA</v>
      </c>
      <c r="I613" t="s">
        <v>50</v>
      </c>
      <c r="J613" t="str">
        <f>IFERROR(_xlfn.XLOOKUP(Table1[[#This Row],[sales_channel]],Table4[Original],Table4[Clean],,0,1),"Unknown")</f>
        <v>Mobile</v>
      </c>
      <c r="K613" t="s">
        <v>102</v>
      </c>
      <c r="L613" t="str">
        <f>IFERROR(_xlfn.XLOOKUP(Table1[[#This Row],[product]],Table3[Original],Table3[Product_clean],,0,1),"Unknown")</f>
        <v>Phone</v>
      </c>
      <c r="M613" s="6">
        <v>2</v>
      </c>
      <c r="N613">
        <f>IF(ISNUMBER(Table1[[#This Row],[quantity]]),Table1[[#This Row],[quantity]],IFERROR(VLOOKUP(Table1[[#This Row],[quantity]],Table5[#All],2,FALSE),"Unknown"))</f>
        <v>2</v>
      </c>
      <c r="O613" t="s">
        <v>1398</v>
      </c>
      <c r="P613">
        <f>IFERROR(VALUE(SUBSTITUTE(SUBSTITUTE(SUBSTITUTE(Table1[[#This Row],[revenue]],"EUR",""),"$",""),".",",")),"")</f>
        <v>295.70999999999998</v>
      </c>
      <c r="Q613" t="s">
        <v>58</v>
      </c>
      <c r="R613" t="str">
        <f>IF(OR(Table1[[#This Row],[currency]]="EUR",Table1[[#This Row],[currency]]="€"),"EUR",IF(OR(Table1[[#This Row],[currency]]="USD",Table1[[#This Row],[currency]]="$"),"USD","Unknown"))</f>
        <v>USD</v>
      </c>
      <c r="S613" t="s">
        <v>23</v>
      </c>
      <c r="T613" t="str">
        <f>IFERROR(_xlfn.XLOOKUP(Table1[[#This Row],[order_status]],Table8[Original],Table8[Clean],,0,1),"Unknown")</f>
        <v>Delivered</v>
      </c>
      <c r="U613">
        <v>1</v>
      </c>
      <c r="V613">
        <f>IF(ISNUMBER(Table1[[#This Row],[delivery_days]]),Table1[[#This Row],[delivery_days]],IFERROR(_xlfn.XLOOKUP(Table1[[#This Row],[delivery_days]],Table57[Original],Table57[Clean],,0,1),"Unknown"))</f>
        <v>1</v>
      </c>
      <c r="W613" t="s">
        <v>24</v>
      </c>
    </row>
    <row r="614" spans="1:23" x14ac:dyDescent="0.3">
      <c r="A614">
        <v>1612</v>
      </c>
      <c r="B614" t="str">
        <f>IF(ISBLANK(Table1[[#This Row],[order_id]]),"",IF(LEFT(Table1[[#This Row],[order_id]],3)="ORD",Table1[[#This Row],[order_id]],"ORD-" &amp; Table1[[#This Row],[order_id]]))</f>
        <v>ORD-1612</v>
      </c>
      <c r="D614" s="1" t="str">
        <f>IFERROR(DATEVALUE(Table1[[#This Row],[order_date]]),"")</f>
        <v/>
      </c>
      <c r="E614" t="s">
        <v>1399</v>
      </c>
      <c r="F614" t="str">
        <f>IF(ISBLANK(Table1[[#This Row],[customer_name]]),"Unknown Customer",PROPER(SUBSTITUTE(Table1[[#This Row],[customer_name]],"Cust.","Customer")))</f>
        <v>Customer 612</v>
      </c>
      <c r="G614" t="s">
        <v>73</v>
      </c>
      <c r="H614" t="str">
        <f>IFERROR(_xlfn.XLOOKUP(Table1[[#This Row],[region]],Mappings!$C$3:$C$8,Mappings!$D$3:$D$8,,0,1),"Unknown")</f>
        <v>Europe</v>
      </c>
      <c r="I614" t="s">
        <v>27</v>
      </c>
      <c r="J614" t="str">
        <f>IFERROR(_xlfn.XLOOKUP(Table1[[#This Row],[sales_channel]],Table4[Original],Table4[Clean],,0,1),"Unknown")</f>
        <v>Online</v>
      </c>
      <c r="K614" t="s">
        <v>15</v>
      </c>
      <c r="L614" t="str">
        <f>IFERROR(_xlfn.XLOOKUP(Table1[[#This Row],[product]],Table3[Original],Table3[Product_clean],,0,1),"Unknown")</f>
        <v>Tablet</v>
      </c>
      <c r="M614" s="6" t="s">
        <v>83</v>
      </c>
      <c r="N614">
        <f>IF(ISNUMBER(Table1[[#This Row],[quantity]]),Table1[[#This Row],[quantity]],IFERROR(VLOOKUP(Table1[[#This Row],[quantity]],Table5[#All],2,FALSE),"Unknown"))</f>
        <v>2</v>
      </c>
      <c r="O614">
        <v>363.68</v>
      </c>
      <c r="P614">
        <f>IFERROR(VALUE(SUBSTITUTE(SUBSTITUTE(SUBSTITUTE(Table1[[#This Row],[revenue]],"EUR",""),"$",""),".",",")),"")</f>
        <v>363.68</v>
      </c>
      <c r="Q614" t="s">
        <v>22</v>
      </c>
      <c r="R614" t="str">
        <f>IF(OR(Table1[[#This Row],[currency]]="EUR",Table1[[#This Row],[currency]]="€"),"EUR",IF(OR(Table1[[#This Row],[currency]]="USD",Table1[[#This Row],[currency]]="$"),"USD","Unknown"))</f>
        <v>USD</v>
      </c>
      <c r="T614" t="str">
        <f>IFERROR(_xlfn.XLOOKUP(Table1[[#This Row],[order_status]],Table8[Original],Table8[Clean],,0,1),"Unknown")</f>
        <v>Unknown</v>
      </c>
      <c r="U614">
        <v>5</v>
      </c>
      <c r="V614">
        <f>IF(ISNUMBER(Table1[[#This Row],[delivery_days]]),Table1[[#This Row],[delivery_days]],IFERROR(_xlfn.XLOOKUP(Table1[[#This Row],[delivery_days]],Table57[Original],Table57[Clean],,0,1),"Unknown"))</f>
        <v>5</v>
      </c>
    </row>
    <row r="615" spans="1:23" x14ac:dyDescent="0.3">
      <c r="B615" t="str">
        <f>IF(ISBLANK(Table1[[#This Row],[order_id]]),"",IF(LEFT(Table1[[#This Row],[order_id]],3)="ORD",Table1[[#This Row],[order_id]],"ORD-" &amp; Table1[[#This Row],[order_id]]))</f>
        <v/>
      </c>
      <c r="D615" s="1" t="str">
        <f>IFERROR(DATEVALUE(Table1[[#This Row],[order_date]]),"")</f>
        <v/>
      </c>
      <c r="E615" t="s">
        <v>1400</v>
      </c>
      <c r="F615" t="str">
        <f>IF(ISBLANK(Table1[[#This Row],[customer_name]]),"Unknown Customer",PROPER(SUBSTITUTE(Table1[[#This Row],[customer_name]],"Cust.","Customer")))</f>
        <v>Customer 613</v>
      </c>
      <c r="G615" t="s">
        <v>73</v>
      </c>
      <c r="H615" t="str">
        <f>IFERROR(_xlfn.XLOOKUP(Table1[[#This Row],[region]],Mappings!$C$3:$C$8,Mappings!$D$3:$D$8,,0,1),"Unknown")</f>
        <v>Europe</v>
      </c>
      <c r="I615" t="s">
        <v>27</v>
      </c>
      <c r="J615" t="str">
        <f>IFERROR(_xlfn.XLOOKUP(Table1[[#This Row],[sales_channel]],Table4[Original],Table4[Clean],,0,1),"Unknown")</f>
        <v>Online</v>
      </c>
      <c r="K615" t="s">
        <v>28</v>
      </c>
      <c r="L615" t="str">
        <f>IFERROR(_xlfn.XLOOKUP(Table1[[#This Row],[product]],Table3[Original],Table3[Product_clean],,0,1),"Unknown")</f>
        <v>Laptop</v>
      </c>
      <c r="M615" s="6">
        <v>1</v>
      </c>
      <c r="N615">
        <f>IF(ISNUMBER(Table1[[#This Row],[quantity]]),Table1[[#This Row],[quantity]],IFERROR(VLOOKUP(Table1[[#This Row],[quantity]],Table5[#All],2,FALSE),"Unknown"))</f>
        <v>1</v>
      </c>
      <c r="O615" t="s">
        <v>1401</v>
      </c>
      <c r="P615">
        <f>IFERROR(VALUE(SUBSTITUTE(SUBSTITUTE(SUBSTITUTE(Table1[[#This Row],[revenue]],"EUR",""),"$",""),".",",")),"")</f>
        <v>1874.57</v>
      </c>
      <c r="Q615" t="s">
        <v>58</v>
      </c>
      <c r="R615" t="str">
        <f>IF(OR(Table1[[#This Row],[currency]]="EUR",Table1[[#This Row],[currency]]="€"),"EUR",IF(OR(Table1[[#This Row],[currency]]="USD",Table1[[#This Row],[currency]]="$"),"USD","Unknown"))</f>
        <v>USD</v>
      </c>
      <c r="S615" t="s">
        <v>30</v>
      </c>
      <c r="T615" t="str">
        <f>IFERROR(_xlfn.XLOOKUP(Table1[[#This Row],[order_status]],Table8[Original],Table8[Clean],,0,1),"Unknown")</f>
        <v>Delivered</v>
      </c>
      <c r="U615">
        <v>1</v>
      </c>
      <c r="V615">
        <f>IF(ISNUMBER(Table1[[#This Row],[delivery_days]]),Table1[[#This Row],[delivery_days]],IFERROR(_xlfn.XLOOKUP(Table1[[#This Row],[delivery_days]],Table57[Original],Table57[Clean],,0,1),"Unknown"))</f>
        <v>1</v>
      </c>
      <c r="W615" t="s">
        <v>37</v>
      </c>
    </row>
    <row r="616" spans="1:23" x14ac:dyDescent="0.3">
      <c r="B616" t="str">
        <f>IF(ISBLANK(Table1[[#This Row],[order_id]]),"",IF(LEFT(Table1[[#This Row],[order_id]],3)="ORD",Table1[[#This Row],[order_id]],"ORD-" &amp; Table1[[#This Row],[order_id]]))</f>
        <v/>
      </c>
      <c r="C616" t="s">
        <v>1402</v>
      </c>
      <c r="D616" s="1">
        <f>IFERROR(DATEVALUE(Table1[[#This Row],[order_date]]),"")</f>
        <v>45305</v>
      </c>
      <c r="F616" t="str">
        <f>IF(ISBLANK(Table1[[#This Row],[customer_name]]),"Unknown Customer",PROPER(SUBSTITUTE(Table1[[#This Row],[customer_name]],"Cust.","Customer")))</f>
        <v>Unknown Customer</v>
      </c>
      <c r="H616" t="str">
        <f>IFERROR(_xlfn.XLOOKUP(Table1[[#This Row],[region]],Mappings!$C$3:$C$8,Mappings!$D$3:$D$8,,0,1),"Unknown")</f>
        <v>Unknown</v>
      </c>
      <c r="J616" t="str">
        <f>IFERROR(_xlfn.XLOOKUP(Table1[[#This Row],[sales_channel]],Table4[Original],Table4[Clean],,0,1),"Unknown")</f>
        <v>Unknown</v>
      </c>
      <c r="L616" t="str">
        <f>IFERROR(_xlfn.XLOOKUP(Table1[[#This Row],[product]],Table3[Original],Table3[Product_clean],,0,1),"Unknown")</f>
        <v>Unknown</v>
      </c>
      <c r="M616" s="6"/>
      <c r="N616" t="str">
        <f>IF(ISNUMBER(Table1[[#This Row],[quantity]]),Table1[[#This Row],[quantity]],IFERROR(VLOOKUP(Table1[[#This Row],[quantity]],Table5[#All],2,FALSE),"Unknown"))</f>
        <v>Unknown</v>
      </c>
      <c r="O616" t="s">
        <v>1403</v>
      </c>
      <c r="P616">
        <f>IFERROR(VALUE(SUBSTITUTE(SUBSTITUTE(SUBSTITUTE(Table1[[#This Row],[revenue]],"EUR",""),"$",""),".",",")),"")</f>
        <v>667.23</v>
      </c>
      <c r="Q616" t="s">
        <v>58</v>
      </c>
      <c r="R616" t="str">
        <f>IF(OR(Table1[[#This Row],[currency]]="EUR",Table1[[#This Row],[currency]]="€"),"EUR",IF(OR(Table1[[#This Row],[currency]]="USD",Table1[[#This Row],[currency]]="$"),"USD","Unknown"))</f>
        <v>USD</v>
      </c>
      <c r="S616" t="s">
        <v>30</v>
      </c>
      <c r="T616" t="str">
        <f>IFERROR(_xlfn.XLOOKUP(Table1[[#This Row],[order_status]],Table8[Original],Table8[Clean],,0,1),"Unknown")</f>
        <v>Delivered</v>
      </c>
      <c r="U616">
        <v>3</v>
      </c>
      <c r="V616">
        <f>IF(ISNUMBER(Table1[[#This Row],[delivery_days]]),Table1[[#This Row],[delivery_days]],IFERROR(_xlfn.XLOOKUP(Table1[[#This Row],[delivery_days]],Table57[Original],Table57[Clean],,0,1),"Unknown"))</f>
        <v>3</v>
      </c>
    </row>
    <row r="617" spans="1:23" x14ac:dyDescent="0.3">
      <c r="A617">
        <v>1615</v>
      </c>
      <c r="B617" t="str">
        <f>IF(ISBLANK(Table1[[#This Row],[order_id]]),"",IF(LEFT(Table1[[#This Row],[order_id]],3)="ORD",Table1[[#This Row],[order_id]],"ORD-" &amp; Table1[[#This Row],[order_id]]))</f>
        <v>ORD-1615</v>
      </c>
      <c r="C617" t="s">
        <v>1404</v>
      </c>
      <c r="D617" s="1">
        <f>IFERROR(DATEVALUE(Table1[[#This Row],[order_date]]),"")</f>
        <v>45367</v>
      </c>
      <c r="E617" t="s">
        <v>1405</v>
      </c>
      <c r="F617" t="str">
        <f>IF(ISBLANK(Table1[[#This Row],[customer_name]]),"Unknown Customer",PROPER(SUBSTITUTE(Table1[[#This Row],[customer_name]],"Cust.","Customer")))</f>
        <v>Customer 615</v>
      </c>
      <c r="H617" t="str">
        <f>IFERROR(_xlfn.XLOOKUP(Table1[[#This Row],[region]],Mappings!$C$3:$C$8,Mappings!$D$3:$D$8,,0,1),"Unknown")</f>
        <v>Unknown</v>
      </c>
      <c r="J617" t="str">
        <f>IFERROR(_xlfn.XLOOKUP(Table1[[#This Row],[sales_channel]],Table4[Original],Table4[Clean],,0,1),"Unknown")</f>
        <v>Unknown</v>
      </c>
      <c r="K617" t="s">
        <v>41</v>
      </c>
      <c r="L617" t="str">
        <f>IFERROR(_xlfn.XLOOKUP(Table1[[#This Row],[product]],Table3[Original],Table3[Product_clean],,0,1),"Unknown")</f>
        <v>Phone</v>
      </c>
      <c r="M617" s="6" t="s">
        <v>83</v>
      </c>
      <c r="N617">
        <f>IF(ISNUMBER(Table1[[#This Row],[quantity]]),Table1[[#This Row],[quantity]],IFERROR(VLOOKUP(Table1[[#This Row],[quantity]],Table5[#All],2,FALSE),"Unknown"))</f>
        <v>2</v>
      </c>
      <c r="O617">
        <v>1448.27</v>
      </c>
      <c r="P617">
        <f>IFERROR(VALUE(SUBSTITUTE(SUBSTITUTE(SUBSTITUTE(Table1[[#This Row],[revenue]],"EUR",""),"$",""),".",",")),"")</f>
        <v>1448.27</v>
      </c>
      <c r="Q617" t="s">
        <v>22</v>
      </c>
      <c r="R617" t="str">
        <f>IF(OR(Table1[[#This Row],[currency]]="EUR",Table1[[#This Row],[currency]]="€"),"EUR",IF(OR(Table1[[#This Row],[currency]]="USD",Table1[[#This Row],[currency]]="$"),"USD","Unknown"))</f>
        <v>USD</v>
      </c>
      <c r="S617" t="s">
        <v>30</v>
      </c>
      <c r="T617" t="str">
        <f>IFERROR(_xlfn.XLOOKUP(Table1[[#This Row],[order_status]],Table8[Original],Table8[Clean],,0,1),"Unknown")</f>
        <v>Delivered</v>
      </c>
      <c r="U617">
        <v>5</v>
      </c>
      <c r="V617">
        <f>IF(ISNUMBER(Table1[[#This Row],[delivery_days]]),Table1[[#This Row],[delivery_days]],IFERROR(_xlfn.XLOOKUP(Table1[[#This Row],[delivery_days]],Table57[Original],Table57[Clean],,0,1),"Unknown"))</f>
        <v>5</v>
      </c>
      <c r="W617" t="s">
        <v>37</v>
      </c>
    </row>
    <row r="618" spans="1:23" x14ac:dyDescent="0.3">
      <c r="A618">
        <v>1616</v>
      </c>
      <c r="B618" t="str">
        <f>IF(ISBLANK(Table1[[#This Row],[order_id]]),"",IF(LEFT(Table1[[#This Row],[order_id]],3)="ORD",Table1[[#This Row],[order_id]],"ORD-" &amp; Table1[[#This Row],[order_id]]))</f>
        <v>ORD-1616</v>
      </c>
      <c r="C618" t="s">
        <v>670</v>
      </c>
      <c r="D618" s="1" t="str">
        <f>IFERROR(DATEVALUE(Table1[[#This Row],[order_date]]),"")</f>
        <v/>
      </c>
      <c r="E618" t="s">
        <v>1406</v>
      </c>
      <c r="F618" t="str">
        <f>IF(ISBLANK(Table1[[#This Row],[customer_name]]),"Unknown Customer",PROPER(SUBSTITUTE(Table1[[#This Row],[customer_name]],"Cust.","Customer")))</f>
        <v>Customer 616</v>
      </c>
      <c r="G618" t="s">
        <v>73</v>
      </c>
      <c r="H618" t="str">
        <f>IFERROR(_xlfn.XLOOKUP(Table1[[#This Row],[region]],Mappings!$C$3:$C$8,Mappings!$D$3:$D$8,,0,1),"Unknown")</f>
        <v>Europe</v>
      </c>
      <c r="J618" t="str">
        <f>IFERROR(_xlfn.XLOOKUP(Table1[[#This Row],[sales_channel]],Table4[Original],Table4[Clean],,0,1),"Unknown")</f>
        <v>Unknown</v>
      </c>
      <c r="L618" t="str">
        <f>IFERROR(_xlfn.XLOOKUP(Table1[[#This Row],[product]],Table3[Original],Table3[Product_clean],,0,1),"Unknown")</f>
        <v>Unknown</v>
      </c>
      <c r="M618" s="6" t="s">
        <v>83</v>
      </c>
      <c r="N618">
        <f>IF(ISNUMBER(Table1[[#This Row],[quantity]]),Table1[[#This Row],[quantity]],IFERROR(VLOOKUP(Table1[[#This Row],[quantity]],Table5[#All],2,FALSE),"Unknown"))</f>
        <v>2</v>
      </c>
      <c r="P618" t="str">
        <f>IFERROR(VALUE(SUBSTITUTE(SUBSTITUTE(SUBSTITUTE(Table1[[#This Row],[revenue]],"EUR",""),"$",""),".",",")),"")</f>
        <v/>
      </c>
      <c r="Q618" t="s">
        <v>22</v>
      </c>
      <c r="R618" t="str">
        <f>IF(OR(Table1[[#This Row],[currency]]="EUR",Table1[[#This Row],[currency]]="€"),"EUR",IF(OR(Table1[[#This Row],[currency]]="USD",Table1[[#This Row],[currency]]="$"),"USD","Unknown"))</f>
        <v>USD</v>
      </c>
      <c r="S618" t="s">
        <v>47</v>
      </c>
      <c r="T618" t="str">
        <f>IFERROR(_xlfn.XLOOKUP(Table1[[#This Row],[order_status]],Table8[Original],Table8[Clean],,0,1),"Unknown")</f>
        <v>Returned</v>
      </c>
      <c r="V618" t="str">
        <f>IF(ISNUMBER(Table1[[#This Row],[delivery_days]]),Table1[[#This Row],[delivery_days]],IFERROR(_xlfn.XLOOKUP(Table1[[#This Row],[delivery_days]],Table57[Original],Table57[Clean],,0,1),"Unknown"))</f>
        <v>Unknown</v>
      </c>
      <c r="W618" t="s">
        <v>24</v>
      </c>
    </row>
    <row r="619" spans="1:23" x14ac:dyDescent="0.3">
      <c r="B619" t="str">
        <f>IF(ISBLANK(Table1[[#This Row],[order_id]]),"",IF(LEFT(Table1[[#This Row],[order_id]],3)="ORD",Table1[[#This Row],[order_id]],"ORD-" &amp; Table1[[#This Row],[order_id]]))</f>
        <v/>
      </c>
      <c r="D619" s="1" t="str">
        <f>IFERROR(DATEVALUE(Table1[[#This Row],[order_date]]),"")</f>
        <v/>
      </c>
      <c r="E619" t="s">
        <v>1407</v>
      </c>
      <c r="F619" t="str">
        <f>IF(ISBLANK(Table1[[#This Row],[customer_name]]),"Unknown Customer",PROPER(SUBSTITUTE(Table1[[#This Row],[customer_name]],"Cust.","Customer")))</f>
        <v>Customer 617</v>
      </c>
      <c r="H619" t="str">
        <f>IFERROR(_xlfn.XLOOKUP(Table1[[#This Row],[region]],Mappings!$C$3:$C$8,Mappings!$D$3:$D$8,,0,1),"Unknown")</f>
        <v>Unknown</v>
      </c>
      <c r="I619" t="s">
        <v>14</v>
      </c>
      <c r="J619" t="str">
        <f>IFERROR(_xlfn.XLOOKUP(Table1[[#This Row],[sales_channel]],Table4[Original],Table4[Clean],,0,1),"Unknown")</f>
        <v>Online</v>
      </c>
      <c r="K619" t="s">
        <v>33</v>
      </c>
      <c r="L619" t="str">
        <f>IFERROR(_xlfn.XLOOKUP(Table1[[#This Row],[product]],Table3[Original],Table3[Product_clean],,0,1),"Unknown")</f>
        <v>Tablet</v>
      </c>
      <c r="M619" s="6">
        <v>1</v>
      </c>
      <c r="N619">
        <f>IF(ISNUMBER(Table1[[#This Row],[quantity]]),Table1[[#This Row],[quantity]],IFERROR(VLOOKUP(Table1[[#This Row],[quantity]],Table5[#All],2,FALSE),"Unknown"))</f>
        <v>1</v>
      </c>
      <c r="P619" t="str">
        <f>IFERROR(VALUE(SUBSTITUTE(SUBSTITUTE(SUBSTITUTE(Table1[[#This Row],[revenue]],"EUR",""),"$",""),".",",")),"")</f>
        <v/>
      </c>
      <c r="Q619" t="s">
        <v>22</v>
      </c>
      <c r="R619" t="str">
        <f>IF(OR(Table1[[#This Row],[currency]]="EUR",Table1[[#This Row],[currency]]="€"),"EUR",IF(OR(Table1[[#This Row],[currency]]="USD",Table1[[#This Row],[currency]]="$"),"USD","Unknown"))</f>
        <v>USD</v>
      </c>
      <c r="S619" t="s">
        <v>18</v>
      </c>
      <c r="T619" t="str">
        <f>IFERROR(_xlfn.XLOOKUP(Table1[[#This Row],[order_status]],Table8[Original],Table8[Clean],,0,1),"Unknown")</f>
        <v>Pending</v>
      </c>
      <c r="U619">
        <v>3</v>
      </c>
      <c r="V619">
        <f>IF(ISNUMBER(Table1[[#This Row],[delivery_days]]),Table1[[#This Row],[delivery_days]],IFERROR(_xlfn.XLOOKUP(Table1[[#This Row],[delivery_days]],Table57[Original],Table57[Clean],,0,1),"Unknown"))</f>
        <v>3</v>
      </c>
    </row>
    <row r="620" spans="1:23" x14ac:dyDescent="0.3">
      <c r="A620" t="s">
        <v>1408</v>
      </c>
      <c r="B620" t="str">
        <f>IF(ISBLANK(Table1[[#This Row],[order_id]]),"",IF(LEFT(Table1[[#This Row],[order_id]],3)="ORD",Table1[[#This Row],[order_id]],"ORD-" &amp; Table1[[#This Row],[order_id]]))</f>
        <v>ORD-1618</v>
      </c>
      <c r="C620" t="s">
        <v>535</v>
      </c>
      <c r="D620" s="1">
        <f>IFERROR(DATEVALUE(Table1[[#This Row],[order_date]]),"")</f>
        <v>45429</v>
      </c>
      <c r="F620" t="str">
        <f>IF(ISBLANK(Table1[[#This Row],[customer_name]]),"Unknown Customer",PROPER(SUBSTITUTE(Table1[[#This Row],[customer_name]],"Cust.","Customer")))</f>
        <v>Unknown Customer</v>
      </c>
      <c r="G620" t="s">
        <v>45</v>
      </c>
      <c r="H620" t="str">
        <f>IFERROR(_xlfn.XLOOKUP(Table1[[#This Row],[region]],Mappings!$C$3:$C$8,Mappings!$D$3:$D$8,,0,1),"Unknown")</f>
        <v>USA</v>
      </c>
      <c r="J620" t="str">
        <f>IFERROR(_xlfn.XLOOKUP(Table1[[#This Row],[sales_channel]],Table4[Original],Table4[Clean],,0,1),"Unknown")</f>
        <v>Unknown</v>
      </c>
      <c r="K620" t="s">
        <v>102</v>
      </c>
      <c r="L620" t="str">
        <f>IFERROR(_xlfn.XLOOKUP(Table1[[#This Row],[product]],Table3[Original],Table3[Product_clean],,0,1),"Unknown")</f>
        <v>Phone</v>
      </c>
      <c r="M620" s="6" t="s">
        <v>83</v>
      </c>
      <c r="N620">
        <f>IF(ISNUMBER(Table1[[#This Row],[quantity]]),Table1[[#This Row],[quantity]],IFERROR(VLOOKUP(Table1[[#This Row],[quantity]],Table5[#All],2,FALSE),"Unknown"))</f>
        <v>2</v>
      </c>
      <c r="P620" t="str">
        <f>IFERROR(VALUE(SUBSTITUTE(SUBSTITUTE(SUBSTITUTE(Table1[[#This Row],[revenue]],"EUR",""),"$",""),".",",")),"")</f>
        <v/>
      </c>
      <c r="Q620" t="s">
        <v>22</v>
      </c>
      <c r="R620" t="str">
        <f>IF(OR(Table1[[#This Row],[currency]]="EUR",Table1[[#This Row],[currency]]="€"),"EUR",IF(OR(Table1[[#This Row],[currency]]="USD",Table1[[#This Row],[currency]]="$"),"USD","Unknown"))</f>
        <v>USD</v>
      </c>
      <c r="S620" t="s">
        <v>30</v>
      </c>
      <c r="T620" t="str">
        <f>IFERROR(_xlfn.XLOOKUP(Table1[[#This Row],[order_status]],Table8[Original],Table8[Clean],,0,1),"Unknown")</f>
        <v>Delivered</v>
      </c>
      <c r="U620">
        <v>2</v>
      </c>
      <c r="V620">
        <f>IF(ISNUMBER(Table1[[#This Row],[delivery_days]]),Table1[[#This Row],[delivery_days]],IFERROR(_xlfn.XLOOKUP(Table1[[#This Row],[delivery_days]],Table57[Original],Table57[Clean],,0,1),"Unknown"))</f>
        <v>2</v>
      </c>
      <c r="W620" t="s">
        <v>24</v>
      </c>
    </row>
    <row r="621" spans="1:23" x14ac:dyDescent="0.3">
      <c r="A621" t="s">
        <v>1409</v>
      </c>
      <c r="B621" t="str">
        <f>IF(ISBLANK(Table1[[#This Row],[order_id]]),"",IF(LEFT(Table1[[#This Row],[order_id]],3)="ORD",Table1[[#This Row],[order_id]],"ORD-" &amp; Table1[[#This Row],[order_id]]))</f>
        <v>ORD-1619</v>
      </c>
      <c r="C621" t="s">
        <v>1410</v>
      </c>
      <c r="D621" s="1">
        <f>IFERROR(DATEVALUE(Table1[[#This Row],[order_date]]),"")</f>
        <v>45663</v>
      </c>
      <c r="E621" t="s">
        <v>1411</v>
      </c>
      <c r="F621" t="str">
        <f>IF(ISBLANK(Table1[[#This Row],[customer_name]]),"Unknown Customer",PROPER(SUBSTITUTE(Table1[[#This Row],[customer_name]],"Cust.","Customer")))</f>
        <v>Customer 619</v>
      </c>
      <c r="G621" t="s">
        <v>45</v>
      </c>
      <c r="H621" t="str">
        <f>IFERROR(_xlfn.XLOOKUP(Table1[[#This Row],[region]],Mappings!$C$3:$C$8,Mappings!$D$3:$D$8,,0,1),"Unknown")</f>
        <v>USA</v>
      </c>
      <c r="J621" t="str">
        <f>IFERROR(_xlfn.XLOOKUP(Table1[[#This Row],[sales_channel]],Table4[Original],Table4[Clean],,0,1),"Unknown")</f>
        <v>Unknown</v>
      </c>
      <c r="K621" t="s">
        <v>102</v>
      </c>
      <c r="L621" t="str">
        <f>IFERROR(_xlfn.XLOOKUP(Table1[[#This Row],[product]],Table3[Original],Table3[Product_clean],,0,1),"Unknown")</f>
        <v>Phone</v>
      </c>
      <c r="M621" s="6"/>
      <c r="N621" t="str">
        <f>IF(ISNUMBER(Table1[[#This Row],[quantity]]),Table1[[#This Row],[quantity]],IFERROR(VLOOKUP(Table1[[#This Row],[quantity]],Table5[#All],2,FALSE),"Unknown"))</f>
        <v>Unknown</v>
      </c>
      <c r="O621" t="s">
        <v>1412</v>
      </c>
      <c r="P621">
        <f>IFERROR(VALUE(SUBSTITUTE(SUBSTITUTE(SUBSTITUTE(Table1[[#This Row],[revenue]],"EUR",""),"$",""),".",",")),"")</f>
        <v>616.99</v>
      </c>
      <c r="Q621" t="s">
        <v>22</v>
      </c>
      <c r="R621" t="str">
        <f>IF(OR(Table1[[#This Row],[currency]]="EUR",Table1[[#This Row],[currency]]="€"),"EUR",IF(OR(Table1[[#This Row],[currency]]="USD",Table1[[#This Row],[currency]]="$"),"USD","Unknown"))</f>
        <v>USD</v>
      </c>
      <c r="S621" t="s">
        <v>23</v>
      </c>
      <c r="T621" t="str">
        <f>IFERROR(_xlfn.XLOOKUP(Table1[[#This Row],[order_status]],Table8[Original],Table8[Clean],,0,1),"Unknown")</f>
        <v>Delivered</v>
      </c>
      <c r="U621">
        <v>3</v>
      </c>
      <c r="V621">
        <f>IF(ISNUMBER(Table1[[#This Row],[delivery_days]]),Table1[[#This Row],[delivery_days]],IFERROR(_xlfn.XLOOKUP(Table1[[#This Row],[delivery_days]],Table57[Original],Table57[Clean],,0,1),"Unknown"))</f>
        <v>3</v>
      </c>
    </row>
    <row r="622" spans="1:23" x14ac:dyDescent="0.3">
      <c r="D622" s="6">
        <f>COUNTBLANK(Table1[order_date_clean])</f>
        <v>266</v>
      </c>
      <c r="H622" s="10"/>
    </row>
    <row r="624" spans="1:23" x14ac:dyDescent="0.3">
      <c r="D624" s="6"/>
    </row>
  </sheetData>
  <pageMargins left="0.75" right="0.75" top="1" bottom="1" header="0.5" footer="0.5"/>
  <headerFooter>
    <oddFooter>&amp;C_x000D_&amp;1#&amp;"Calibri"&amp;8&amp;K000000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AF18-C7A6-4C2B-9432-6885574EE7AB}">
  <dimension ref="C2:R17"/>
  <sheetViews>
    <sheetView workbookViewId="0">
      <selection activeCell="F18" sqref="F18"/>
    </sheetView>
  </sheetViews>
  <sheetFormatPr defaultRowHeight="14.4" x14ac:dyDescent="0.3"/>
  <cols>
    <col min="3" max="3" width="13.33203125" customWidth="1"/>
    <col min="4" max="4" width="10.44140625" customWidth="1"/>
    <col min="8" max="8" width="10.44140625" customWidth="1"/>
    <col min="9" max="9" width="14.109375" customWidth="1"/>
    <col min="13" max="14" width="10.44140625" customWidth="1"/>
    <col min="17" max="18" width="10.44140625" customWidth="1"/>
  </cols>
  <sheetData>
    <row r="2" spans="3:18" x14ac:dyDescent="0.3">
      <c r="C2" t="s">
        <v>1414</v>
      </c>
      <c r="D2" t="s">
        <v>1422</v>
      </c>
      <c r="H2" t="s">
        <v>1414</v>
      </c>
      <c r="I2" t="s">
        <v>1421</v>
      </c>
      <c r="M2" t="s">
        <v>1414</v>
      </c>
      <c r="N2" t="s">
        <v>1422</v>
      </c>
      <c r="Q2" t="s">
        <v>1414</v>
      </c>
      <c r="R2" t="s">
        <v>1422</v>
      </c>
    </row>
    <row r="3" spans="3:18" x14ac:dyDescent="0.3">
      <c r="C3" t="s">
        <v>73</v>
      </c>
      <c r="D3" t="s">
        <v>1417</v>
      </c>
      <c r="H3" t="s">
        <v>51</v>
      </c>
      <c r="I3" t="s">
        <v>51</v>
      </c>
      <c r="M3" t="s">
        <v>14</v>
      </c>
      <c r="N3" t="s">
        <v>14</v>
      </c>
      <c r="Q3" t="s">
        <v>83</v>
      </c>
      <c r="R3">
        <v>2</v>
      </c>
    </row>
    <row r="4" spans="3:18" x14ac:dyDescent="0.3">
      <c r="C4" t="s">
        <v>32</v>
      </c>
      <c r="D4" t="s">
        <v>1417</v>
      </c>
      <c r="H4" t="s">
        <v>28</v>
      </c>
      <c r="I4" t="s">
        <v>51</v>
      </c>
      <c r="M4" t="s">
        <v>27</v>
      </c>
      <c r="N4" t="s">
        <v>14</v>
      </c>
    </row>
    <row r="5" spans="3:18" x14ac:dyDescent="0.3">
      <c r="C5" t="s">
        <v>54</v>
      </c>
      <c r="D5" t="s">
        <v>1416</v>
      </c>
      <c r="H5" t="s">
        <v>41</v>
      </c>
      <c r="I5" t="s">
        <v>102</v>
      </c>
      <c r="M5" t="s">
        <v>68</v>
      </c>
      <c r="N5" t="s">
        <v>14</v>
      </c>
    </row>
    <row r="6" spans="3:18" x14ac:dyDescent="0.3">
      <c r="C6" t="s">
        <v>45</v>
      </c>
      <c r="D6" t="s">
        <v>1416</v>
      </c>
      <c r="H6" t="s">
        <v>102</v>
      </c>
      <c r="I6" t="s">
        <v>102</v>
      </c>
      <c r="M6" t="s">
        <v>50</v>
      </c>
      <c r="N6" t="s">
        <v>50</v>
      </c>
      <c r="Q6" t="s">
        <v>1414</v>
      </c>
      <c r="R6" t="s">
        <v>1422</v>
      </c>
    </row>
    <row r="7" spans="3:18" x14ac:dyDescent="0.3">
      <c r="C7" t="s">
        <v>26</v>
      </c>
      <c r="D7" t="s">
        <v>26</v>
      </c>
      <c r="H7" t="s">
        <v>33</v>
      </c>
      <c r="I7" t="s">
        <v>33</v>
      </c>
      <c r="M7" t="s">
        <v>78</v>
      </c>
      <c r="N7" t="s">
        <v>50</v>
      </c>
      <c r="Q7" t="s">
        <v>36</v>
      </c>
      <c r="R7">
        <v>5</v>
      </c>
    </row>
    <row r="8" spans="3:18" x14ac:dyDescent="0.3">
      <c r="D8" t="s">
        <v>1415</v>
      </c>
      <c r="H8" t="s">
        <v>15</v>
      </c>
      <c r="I8" t="s">
        <v>33</v>
      </c>
    </row>
    <row r="12" spans="3:18" x14ac:dyDescent="0.3">
      <c r="C12" t="s">
        <v>1414</v>
      </c>
      <c r="D12" t="s">
        <v>1422</v>
      </c>
    </row>
    <row r="13" spans="3:18" x14ac:dyDescent="0.3">
      <c r="C13" t="s">
        <v>30</v>
      </c>
      <c r="D13" t="s">
        <v>23</v>
      </c>
    </row>
    <row r="14" spans="3:18" x14ac:dyDescent="0.3">
      <c r="C14" t="s">
        <v>23</v>
      </c>
      <c r="D14" t="s">
        <v>23</v>
      </c>
    </row>
    <row r="15" spans="3:18" x14ac:dyDescent="0.3">
      <c r="C15" t="s">
        <v>47</v>
      </c>
      <c r="D15" t="s">
        <v>1432</v>
      </c>
    </row>
    <row r="16" spans="3:18" x14ac:dyDescent="0.3">
      <c r="C16" t="s">
        <v>35</v>
      </c>
      <c r="D16" t="s">
        <v>1432</v>
      </c>
    </row>
    <row r="17" spans="3:4" x14ac:dyDescent="0.3">
      <c r="C17" t="s">
        <v>18</v>
      </c>
      <c r="D17" t="s">
        <v>1431</v>
      </c>
    </row>
  </sheetData>
  <pageMargins left="0.7" right="0.7" top="0.75" bottom="0.75" header="0.3" footer="0.3"/>
  <headerFooter>
    <oddFooter>&amp;C_x000D_&amp;1#&amp;"Calibri"&amp;8&amp;K000000 Internal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64E1-93DF-4D2D-B4D2-918003C45A44}">
  <dimension ref="B4:C6"/>
  <sheetViews>
    <sheetView zoomScale="60" zoomScaleNormal="60" workbookViewId="0">
      <selection activeCell="N34" sqref="N34"/>
    </sheetView>
  </sheetViews>
  <sheetFormatPr defaultRowHeight="14.4" x14ac:dyDescent="0.3"/>
  <cols>
    <col min="2" max="2" width="18.88671875" customWidth="1"/>
    <col min="3" max="3" width="25.77734375" customWidth="1"/>
  </cols>
  <sheetData>
    <row r="4" spans="2:3" ht="21" x14ac:dyDescent="0.4">
      <c r="B4" s="14" t="s">
        <v>1436</v>
      </c>
      <c r="C4" s="12">
        <f>GETPIVOTDATA("Revenue_clean",PIVOT!$A$3)</f>
        <v>710791.33999999985</v>
      </c>
    </row>
    <row r="5" spans="2:3" ht="21" x14ac:dyDescent="0.4">
      <c r="B5" s="14" t="s">
        <v>1437</v>
      </c>
      <c r="C5" s="12">
        <f>GETPIVOTDATA("order_id_clean",PIVOT!$A$12)</f>
        <v>620</v>
      </c>
    </row>
    <row r="6" spans="2:3" ht="21" x14ac:dyDescent="0.4">
      <c r="B6" s="14" t="s">
        <v>1438</v>
      </c>
      <c r="C6" s="13">
        <f>PIVOT!I17</f>
        <v>0.46568627450980393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Raw_ecommerce</vt:lpstr>
      <vt:lpstr>Mappings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Milenkovic, Luka</cp:lastModifiedBy>
  <dcterms:created xsi:type="dcterms:W3CDTF">2026-04-07T20:25:49Z</dcterms:created>
  <dcterms:modified xsi:type="dcterms:W3CDTF">2026-04-08T13:22:55Z</dcterms:modified>
</cp:coreProperties>
</file>